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<sst xmlns="http://schemas.openxmlformats.org/spreadsheetml/2006/main" count="95" uniqueCount="90">
  <si>
    <t>KIET Group of Institutions, Ghaziabad</t>
  </si>
  <si>
    <t>DEPARTMENT OF CSE(AI)</t>
  </si>
  <si>
    <t>Attendance Monitoring Sheet B. TECH 1-YR(II-Sem), SEC-B SESSION- (2024-25)</t>
  </si>
  <si>
    <t>Note: Kindly mark 1 for present and 0 for absent.</t>
  </si>
  <si>
    <t>Lecture</t>
  </si>
  <si>
    <t>Total</t>
  </si>
  <si>
    <t>%Attendance</t>
  </si>
  <si>
    <t>S.No</t>
  </si>
  <si>
    <t>UNI ROLL NO</t>
  </si>
  <si>
    <t>NAME/Date --&gt;</t>
  </si>
  <si>
    <t>27/1</t>
  </si>
  <si>
    <t>31/1</t>
  </si>
  <si>
    <t>14/2</t>
  </si>
  <si>
    <t>21/2</t>
  </si>
  <si>
    <t>19/3</t>
  </si>
  <si>
    <t>25/4</t>
  </si>
  <si>
    <t>ASHISH MAURYA</t>
  </si>
  <si>
    <t>ASHISH SRIVASTAVA</t>
  </si>
  <si>
    <t>ASHISH YADAV</t>
  </si>
  <si>
    <t>ASHUTOSH CHAUHAN</t>
  </si>
  <si>
    <t>ATHARV TAYAL</t>
  </si>
  <si>
    <t>AVINASH KUMAR</t>
  </si>
  <si>
    <t>AVIRAL</t>
  </si>
  <si>
    <t>AVIRAL DIXIT</t>
  </si>
  <si>
    <t>AYAAN VASHU</t>
  </si>
  <si>
    <t>AYUSH GOYAL</t>
  </si>
  <si>
    <t>AYUSH GUPTA</t>
  </si>
  <si>
    <t>AYUSH PANDEY</t>
  </si>
  <si>
    <t>AYUSH PRASAD</t>
  </si>
  <si>
    <t>AYUSHI SINGH</t>
  </si>
  <si>
    <t>AYUSHMAN BHOWMIK</t>
  </si>
  <si>
    <t>BRAJESH KUMAR KESHARI</t>
  </si>
  <si>
    <t>BRITESHWAR KUMAR</t>
  </si>
  <si>
    <t>DEEPAK</t>
  </si>
  <si>
    <t>DEEPAK KUMAR</t>
  </si>
  <si>
    <t>DEEPANSHU</t>
  </si>
  <si>
    <t>DEEPANSHU PAL</t>
  </si>
  <si>
    <t>DEEPESH PRAVISH</t>
  </si>
  <si>
    <t>DEVANSH JADON</t>
  </si>
  <si>
    <t>DEVANSH RAI</t>
  </si>
  <si>
    <t>DHAIRYA GOEL</t>
  </si>
  <si>
    <t>DHRUV GOEL</t>
  </si>
  <si>
    <t>DHRUV KESARWANI</t>
  </si>
  <si>
    <t>DHRUV KUMAR SHARMA</t>
  </si>
  <si>
    <t>DIVYA PAL</t>
  </si>
  <si>
    <t>DIVYAM SINGH</t>
  </si>
  <si>
    <t>DIVYANSH SINGH</t>
  </si>
  <si>
    <t>DIVYANSHI TYAGI</t>
  </si>
  <si>
    <t>DIVYANSHU CHAUDHARY</t>
  </si>
  <si>
    <t>DIYA MAHESHWARI</t>
  </si>
  <si>
    <t>EISHA</t>
  </si>
  <si>
    <t>GANESH GUPTA</t>
  </si>
  <si>
    <t>GAVENDRA PACHAHRA</t>
  </si>
  <si>
    <t>GITIKA PAL</t>
  </si>
  <si>
    <t>HARSH</t>
  </si>
  <si>
    <t>HARSH KUMAR MISHRA</t>
  </si>
  <si>
    <t>HARSH SRIVASTAVA</t>
  </si>
  <si>
    <t>HARSH VARDHAN SHUKLA</t>
  </si>
  <si>
    <t>HARSHIT PATEL</t>
  </si>
  <si>
    <t>HARSHIT SINGH PATEL</t>
  </si>
  <si>
    <t>HARSHITA KUMARI</t>
  </si>
  <si>
    <t>HARSHITA SHARMA</t>
  </si>
  <si>
    <t>HIMALAYA VASHISTHA</t>
  </si>
  <si>
    <t>HIMANI BHATT</t>
  </si>
  <si>
    <t>HIMANSHU MALIK</t>
  </si>
  <si>
    <t>HIMANSHU MAURYA</t>
  </si>
  <si>
    <t>HIMANSHU SINGH</t>
  </si>
  <si>
    <t>HITEN MEHRA</t>
  </si>
  <si>
    <t>HONEY PRIYA</t>
  </si>
  <si>
    <t>ISHANT TYAGI</t>
  </si>
  <si>
    <t>ISHIKA SHARMA</t>
  </si>
  <si>
    <t>JAHNAVI NAGAR</t>
  </si>
  <si>
    <t>JAHNAVI SINGH</t>
  </si>
  <si>
    <t>JITENDAR</t>
  </si>
  <si>
    <t>KARTIKEY JAISWAL</t>
  </si>
  <si>
    <t>KARTIKEY TEOTIA</t>
  </si>
  <si>
    <t>KAVYA TRIPATHI</t>
  </si>
  <si>
    <t>KRISH GUPTA</t>
  </si>
  <si>
    <t>KRISH SANDHU</t>
  </si>
  <si>
    <t>KRISHNA SHARMA</t>
  </si>
  <si>
    <t>KRISHNA SINGH</t>
  </si>
  <si>
    <t>KSHITIJENDRA PRATAP NAGAR</t>
  </si>
  <si>
    <t>KUMAR ARYAN</t>
  </si>
  <si>
    <t>KUSHAGRA SRIVASTAVA</t>
  </si>
  <si>
    <t>KUSHAL VERMA</t>
  </si>
  <si>
    <t>B</t>
  </si>
  <si>
    <t>LOVIENCE KUMAR</t>
  </si>
  <si>
    <t>LUCKY SINGH</t>
  </si>
  <si>
    <t>MAHI</t>
  </si>
  <si>
    <t>Total Students(Present)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</si>
</sst>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/dd"/>
  </numFmts>
  <fonts count="13">
    <font>
      <sz val="10.0"/>
      <color rgb="FF000000"/>
      <name val="Arial"/>
      <scheme val="minor"/>
    </font>
    <font>
      <b/>
      <sz val="20.0"/>
      <color theme="1"/>
      <name val="Calibri"/>
    </font>
    <font>
      <b/>
      <sz val="16.0"/>
      <color theme="1"/>
      <name val="Calibri"/>
    </font>
    <font>
      <b/>
      <sz val="13.0"/>
      <color theme="1"/>
      <name val="Calibri"/>
    </font>
    <font>
      <color theme="1"/>
      <name val="Arial"/>
    </font>
    <font>
      <b/>
      <sz val="14.0"/>
      <color theme="1"/>
      <name val="Calibri"/>
    </font>
    <font/>
    <font>
      <sz val="11.0"/>
      <color theme="1"/>
      <name val="Calibri"/>
    </font>
    <font>
      <b/>
      <color theme="1"/>
      <name val="Times New Roman"/>
    </font>
    <font>
      <b/>
      <u/>
      <sz val="11.0"/>
      <color rgb="FF0000FF"/>
      <name val="Calibri"/>
    </font>
    <font>
      <b/>
      <sz val="11.0"/>
      <color theme="1"/>
      <name val="Calibri"/>
    </font>
    <font>
      <sz val="9.0"/>
      <color theme="1"/>
      <name val="Calibri"/>
    </font>
    <font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6FC"/>
        <bgColor rgb="FFD9E6FC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0" fillId="0" fontId="4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1" fillId="0" fontId="5" numFmtId="0" xfId="0" applyAlignment="1" applyBorder="1" applyFont="1">
      <alignment horizontal="center"/>
    </xf>
    <xf borderId="2" fillId="0" fontId="6" numFmtId="0" xfId="0" applyBorder="1" applyFont="1"/>
    <xf borderId="3" fillId="0" fontId="6" numFmtId="0" xfId="0" applyBorder="1" applyFont="1"/>
    <xf borderId="4" fillId="0" fontId="7" numFmtId="0" xfId="0" applyAlignment="1" applyBorder="1" applyFont="1">
      <alignment horizontal="center"/>
    </xf>
    <xf borderId="4" fillId="3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4" fillId="0" fontId="11" numFmtId="0" xfId="0" applyAlignment="1" applyBorder="1" applyFont="1">
      <alignment horizontal="center"/>
    </xf>
    <xf borderId="4" fillId="0" fontId="11" numFmtId="0" xfId="0" applyAlignment="1" applyBorder="1" applyFont="1">
      <alignment horizontal="center" vertical="bottom"/>
    </xf>
    <xf borderId="4" fillId="0" fontId="11" numFmtId="164" xfId="0" applyAlignment="1" applyBorder="1" applyFont="1" applyNumberFormat="1">
      <alignment horizontal="center"/>
    </xf>
    <xf borderId="4" fillId="0" fontId="4" numFmtId="0" xfId="0" applyBorder="1" applyFont="1"/>
    <xf borderId="4" fillId="0" fontId="11" numFmtId="165" xfId="0" applyAlignment="1" applyBorder="1" applyFont="1" applyNumberFormat="1">
      <alignment horizontal="center"/>
    </xf>
    <xf borderId="4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right" vertical="bottom"/>
    </xf>
    <xf borderId="4" fillId="0" fontId="7" numFmtId="0" xfId="0" applyAlignment="1" applyBorder="1" applyFont="1">
      <alignment vertical="bottom"/>
    </xf>
    <xf borderId="4" fillId="4" fontId="7" numFmtId="0" xfId="0" applyAlignment="1" applyBorder="1" applyFill="1" applyFont="1">
      <alignment horizontal="center"/>
    </xf>
    <xf borderId="0" fillId="0" fontId="4" numFmtId="0" xfId="0" applyAlignment="1" applyFont="1">
      <alignment horizontal="right" vertical="bottom"/>
    </xf>
    <xf borderId="4" fillId="0" fontId="4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vertical="bottom"/>
    </xf>
    <xf borderId="4" fillId="0" fontId="4" numFmtId="0" xfId="0" applyAlignment="1" applyBorder="1" applyFont="1">
      <alignment horizontal="center"/>
    </xf>
    <xf borderId="4" fillId="4" fontId="4" numFmtId="0" xfId="0" applyAlignment="1" applyBorder="1" applyFont="1">
      <alignment horizontal="center"/>
    </xf>
    <xf borderId="4" fillId="4" fontId="7" numFmtId="0" xfId="0" applyAlignment="1" applyBorder="1" applyFont="1">
      <alignment horizontal="center" vertical="bottom"/>
    </xf>
    <xf borderId="5" fillId="5" fontId="7" numFmtId="0" xfId="0" applyAlignment="1" applyBorder="1" applyFill="1" applyFont="1">
      <alignment horizontal="right" vertical="bottom"/>
    </xf>
    <xf borderId="5" fillId="5" fontId="7" numFmtId="0" xfId="0" applyAlignment="1" applyBorder="1" applyFont="1">
      <alignment vertical="bottom"/>
    </xf>
    <xf borderId="5" fillId="2" fontId="7" numFmtId="0" xfId="0" applyAlignment="1" applyBorder="1" applyFont="1">
      <alignment horizontal="right" vertical="bottom"/>
    </xf>
    <xf borderId="5" fillId="2" fontId="7" numFmtId="0" xfId="0" applyAlignment="1" applyBorder="1" applyFont="1">
      <alignment vertical="bottom"/>
    </xf>
    <xf borderId="4" fillId="2" fontId="12" numFmtId="0" xfId="0" applyAlignment="1" applyBorder="1" applyFont="1">
      <alignment horizontal="center"/>
    </xf>
    <xf borderId="4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3" t="s">
        <v>3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5"/>
      <c r="BE4" s="5"/>
    </row>
    <row r="5">
      <c r="A5" s="6" t="s">
        <v>4</v>
      </c>
      <c r="B5" s="7"/>
      <c r="C5" s="8"/>
      <c r="D5" s="9">
        <v>1.0</v>
      </c>
      <c r="E5" s="9">
        <v>2.0</v>
      </c>
      <c r="F5" s="9">
        <v>3.0</v>
      </c>
      <c r="G5" s="9">
        <v>4.0</v>
      </c>
      <c r="H5" s="9">
        <v>5.0</v>
      </c>
      <c r="I5" s="9">
        <v>6.0</v>
      </c>
      <c r="J5" s="9">
        <v>7.0</v>
      </c>
      <c r="K5" s="9">
        <v>8.0</v>
      </c>
      <c r="L5" s="9">
        <v>9.0</v>
      </c>
      <c r="M5" s="9">
        <v>10.0</v>
      </c>
      <c r="N5" s="9">
        <v>11.0</v>
      </c>
      <c r="O5" s="9">
        <v>12.0</v>
      </c>
      <c r="P5" s="9">
        <v>13.0</v>
      </c>
      <c r="Q5" s="9">
        <v>14.0</v>
      </c>
      <c r="R5" s="9">
        <v>15.0</v>
      </c>
      <c r="S5" s="9">
        <v>16.0</v>
      </c>
      <c r="T5" s="9">
        <v>17.0</v>
      </c>
      <c r="U5" s="9">
        <v>18.0</v>
      </c>
      <c r="V5" s="9">
        <v>19.0</v>
      </c>
      <c r="W5" s="9">
        <v>20.0</v>
      </c>
      <c r="X5" s="9">
        <v>21.0</v>
      </c>
      <c r="Y5" s="9">
        <v>22.0</v>
      </c>
      <c r="Z5" s="9">
        <v>23.0</v>
      </c>
      <c r="AA5" s="9">
        <v>24.0</v>
      </c>
      <c r="AB5" s="9">
        <v>25.0</v>
      </c>
      <c r="AC5" s="9">
        <v>26.0</v>
      </c>
      <c r="AD5" s="9">
        <v>27.0</v>
      </c>
      <c r="AE5" s="9">
        <v>28.0</v>
      </c>
      <c r="AF5" s="9">
        <v>29.0</v>
      </c>
      <c r="AG5" s="9">
        <v>30.0</v>
      </c>
      <c r="AH5" s="9">
        <v>31.0</v>
      </c>
      <c r="AI5" s="9">
        <v>32.0</v>
      </c>
      <c r="AJ5" s="9">
        <v>33.0</v>
      </c>
      <c r="AK5" s="9">
        <v>34.0</v>
      </c>
      <c r="AL5" s="9">
        <v>35.0</v>
      </c>
      <c r="AM5" s="9">
        <v>36.0</v>
      </c>
      <c r="AN5" s="9">
        <v>37.0</v>
      </c>
      <c r="AO5" s="9">
        <v>38.0</v>
      </c>
      <c r="AP5" s="9">
        <v>39.0</v>
      </c>
      <c r="AQ5" s="9">
        <v>40.0</v>
      </c>
      <c r="AR5" s="9">
        <v>41.0</v>
      </c>
      <c r="AS5" s="9">
        <v>42.0</v>
      </c>
      <c r="AT5" s="9">
        <v>43.0</v>
      </c>
      <c r="AU5" s="9">
        <v>44.0</v>
      </c>
      <c r="AV5" s="9">
        <v>45.0</v>
      </c>
      <c r="AW5" s="9">
        <v>46.0</v>
      </c>
      <c r="AX5" s="9">
        <v>47.0</v>
      </c>
      <c r="AY5" s="9">
        <v>48.0</v>
      </c>
      <c r="AZ5" s="9">
        <v>49.0</v>
      </c>
      <c r="BA5" s="9">
        <v>50.0</v>
      </c>
      <c r="BB5" s="9">
        <v>51.0</v>
      </c>
      <c r="BC5" s="9">
        <v>52.0</v>
      </c>
      <c r="BD5" s="10" t="s">
        <v>5</v>
      </c>
      <c r="BE5" s="10" t="s">
        <v>6</v>
      </c>
    </row>
    <row r="6">
      <c r="A6" s="11" t="s">
        <v>7</v>
      </c>
      <c r="B6" s="12" t="s">
        <v>8</v>
      </c>
      <c r="C6" s="12" t="s">
        <v>9</v>
      </c>
      <c r="D6" s="13" t="s">
        <v>10</v>
      </c>
      <c r="E6" s="14" t="s">
        <v>10</v>
      </c>
      <c r="F6" s="13" t="s">
        <v>11</v>
      </c>
      <c r="G6" s="13" t="s">
        <v>11</v>
      </c>
      <c r="H6" s="15">
        <v>45779.0</v>
      </c>
      <c r="I6" s="15">
        <v>45779.0</v>
      </c>
      <c r="J6" s="15">
        <v>45840.0</v>
      </c>
      <c r="K6" s="15">
        <v>45840.0</v>
      </c>
      <c r="L6" s="15">
        <v>45993.0</v>
      </c>
      <c r="M6" s="15">
        <v>45993.0</v>
      </c>
      <c r="N6" s="13" t="s">
        <v>12</v>
      </c>
      <c r="O6" s="13" t="s">
        <v>12</v>
      </c>
      <c r="P6" s="13" t="s">
        <v>13</v>
      </c>
      <c r="Q6" s="13" t="s">
        <v>13</v>
      </c>
      <c r="R6" s="4" t="s">
        <v>14</v>
      </c>
      <c r="S6" s="4" t="s">
        <v>14</v>
      </c>
      <c r="T6" s="16"/>
      <c r="U6" s="13" t="s">
        <v>15</v>
      </c>
      <c r="V6" s="17">
        <v>45693.0</v>
      </c>
      <c r="W6" s="17">
        <v>45693.0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8">
        <f>COUNT(D6:BC6)</f>
        <v>8</v>
      </c>
      <c r="BE6" s="18">
        <v>100.0</v>
      </c>
    </row>
    <row r="7">
      <c r="A7" s="9">
        <v>1.0</v>
      </c>
      <c r="B7" s="19">
        <v>2.02401100300074E14</v>
      </c>
      <c r="C7" s="20" t="s">
        <v>16</v>
      </c>
      <c r="D7" s="9">
        <v>1.0</v>
      </c>
      <c r="E7" s="18">
        <v>1.0</v>
      </c>
      <c r="F7" s="9">
        <v>1.0</v>
      </c>
      <c r="G7" s="9">
        <v>1.0</v>
      </c>
      <c r="H7" s="21">
        <v>0.0</v>
      </c>
      <c r="I7" s="21">
        <v>0.0</v>
      </c>
      <c r="J7" s="9">
        <v>1.0</v>
      </c>
      <c r="K7" s="9">
        <v>1.0</v>
      </c>
      <c r="L7" s="21">
        <v>0.0</v>
      </c>
      <c r="M7" s="21">
        <v>0.0</v>
      </c>
      <c r="N7" s="9">
        <v>1.0</v>
      </c>
      <c r="O7" s="9">
        <v>1.0</v>
      </c>
      <c r="P7" s="9">
        <v>1.0</v>
      </c>
      <c r="Q7" s="9">
        <v>1.0</v>
      </c>
      <c r="R7" s="22">
        <v>1.0</v>
      </c>
      <c r="S7" s="22">
        <v>1.0</v>
      </c>
      <c r="T7" s="9">
        <v>1.0</v>
      </c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8">
        <f t="shared" ref="BD7:BD78" si="1">SUM(D7:BC7)</f>
        <v>13</v>
      </c>
      <c r="BE7" s="23">
        <f t="shared" ref="BE7:BE78" si="2">BD7/$BD6*100</f>
        <v>162.5</v>
      </c>
    </row>
    <row r="8">
      <c r="A8" s="9">
        <v>2.0</v>
      </c>
      <c r="B8" s="24">
        <v>2.02401100300075E14</v>
      </c>
      <c r="C8" s="25" t="s">
        <v>17</v>
      </c>
      <c r="D8" s="9">
        <v>1.0</v>
      </c>
      <c r="E8" s="18">
        <v>1.0</v>
      </c>
      <c r="F8" s="9">
        <v>1.0</v>
      </c>
      <c r="G8" s="9">
        <v>1.0</v>
      </c>
      <c r="H8" s="9">
        <v>1.0</v>
      </c>
      <c r="I8" s="9">
        <v>1.0</v>
      </c>
      <c r="J8" s="9">
        <v>1.0</v>
      </c>
      <c r="K8" s="9">
        <v>1.0</v>
      </c>
      <c r="L8" s="9">
        <v>1.0</v>
      </c>
      <c r="M8" s="9">
        <v>1.0</v>
      </c>
      <c r="N8" s="21">
        <v>0.0</v>
      </c>
      <c r="O8" s="21">
        <v>0.0</v>
      </c>
      <c r="P8" s="9">
        <v>1.0</v>
      </c>
      <c r="Q8" s="9">
        <v>1.0</v>
      </c>
      <c r="R8" s="22">
        <v>0.0</v>
      </c>
      <c r="S8" s="22">
        <v>0.0</v>
      </c>
      <c r="T8" s="26">
        <v>1.0</v>
      </c>
      <c r="U8" s="16"/>
      <c r="V8" s="27">
        <v>0.0</v>
      </c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8">
        <f t="shared" si="1"/>
        <v>13</v>
      </c>
      <c r="BE8" s="23">
        <f t="shared" si="2"/>
        <v>100</v>
      </c>
    </row>
    <row r="9">
      <c r="A9" s="9">
        <v>3.0</v>
      </c>
      <c r="B9" s="24">
        <v>2.02401100300076E14</v>
      </c>
      <c r="C9" s="25" t="s">
        <v>18</v>
      </c>
      <c r="D9" s="9">
        <v>1.0</v>
      </c>
      <c r="E9" s="18">
        <v>1.0</v>
      </c>
      <c r="F9" s="9">
        <v>1.0</v>
      </c>
      <c r="G9" s="9">
        <v>1.0</v>
      </c>
      <c r="H9" s="9">
        <v>1.0</v>
      </c>
      <c r="I9" s="9">
        <v>1.0</v>
      </c>
      <c r="J9" s="9">
        <v>1.0</v>
      </c>
      <c r="K9" s="9">
        <v>1.0</v>
      </c>
      <c r="L9" s="9">
        <v>1.0</v>
      </c>
      <c r="M9" s="9">
        <v>1.0</v>
      </c>
      <c r="N9" s="9">
        <v>1.0</v>
      </c>
      <c r="O9" s="9">
        <v>1.0</v>
      </c>
      <c r="P9" s="9">
        <v>1.0</v>
      </c>
      <c r="Q9" s="9">
        <v>1.0</v>
      </c>
      <c r="R9" s="22">
        <v>1.0</v>
      </c>
      <c r="S9" s="22">
        <v>1.0</v>
      </c>
      <c r="T9" s="26">
        <v>1.0</v>
      </c>
      <c r="U9" s="16"/>
      <c r="V9" s="27">
        <v>0.0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8">
        <f t="shared" si="1"/>
        <v>17</v>
      </c>
      <c r="BE9" s="23">
        <f t="shared" si="2"/>
        <v>130.7692308</v>
      </c>
    </row>
    <row r="10">
      <c r="A10" s="9">
        <v>4.0</v>
      </c>
      <c r="B10" s="24">
        <v>2.02401100300077E14</v>
      </c>
      <c r="C10" s="25" t="s">
        <v>19</v>
      </c>
      <c r="D10" s="9">
        <v>1.0</v>
      </c>
      <c r="E10" s="18">
        <v>1.0</v>
      </c>
      <c r="F10" s="9">
        <v>1.0</v>
      </c>
      <c r="G10" s="9">
        <v>1.0</v>
      </c>
      <c r="H10" s="9">
        <v>1.0</v>
      </c>
      <c r="I10" s="9">
        <v>1.0</v>
      </c>
      <c r="J10" s="9">
        <v>1.0</v>
      </c>
      <c r="K10" s="9">
        <v>1.0</v>
      </c>
      <c r="L10" s="21">
        <v>0.0</v>
      </c>
      <c r="M10" s="21">
        <v>0.0</v>
      </c>
      <c r="N10" s="9">
        <v>1.0</v>
      </c>
      <c r="O10" s="9">
        <v>1.0</v>
      </c>
      <c r="P10" s="9">
        <v>1.0</v>
      </c>
      <c r="Q10" s="9">
        <v>1.0</v>
      </c>
      <c r="R10" s="22">
        <v>1.0</v>
      </c>
      <c r="S10" s="22">
        <v>1.0</v>
      </c>
      <c r="T10" s="26">
        <v>1.0</v>
      </c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8">
        <f t="shared" si="1"/>
        <v>15</v>
      </c>
      <c r="BE10" s="23">
        <f t="shared" si="2"/>
        <v>88.23529412</v>
      </c>
    </row>
    <row r="11">
      <c r="A11" s="9">
        <v>5.0</v>
      </c>
      <c r="B11" s="24">
        <v>2.02401100300078E14</v>
      </c>
      <c r="C11" s="25" t="s">
        <v>20</v>
      </c>
      <c r="D11" s="9">
        <v>1.0</v>
      </c>
      <c r="E11" s="18">
        <v>1.0</v>
      </c>
      <c r="F11" s="9">
        <v>1.0</v>
      </c>
      <c r="G11" s="9">
        <v>1.0</v>
      </c>
      <c r="H11" s="9">
        <v>1.0</v>
      </c>
      <c r="I11" s="9">
        <v>1.0</v>
      </c>
      <c r="J11" s="9">
        <v>1.0</v>
      </c>
      <c r="K11" s="9">
        <v>1.0</v>
      </c>
      <c r="L11" s="9">
        <v>1.0</v>
      </c>
      <c r="M11" s="9">
        <v>1.0</v>
      </c>
      <c r="N11" s="9">
        <v>1.0</v>
      </c>
      <c r="O11" s="9">
        <v>1.0</v>
      </c>
      <c r="P11" s="9">
        <v>1.0</v>
      </c>
      <c r="Q11" s="9">
        <v>1.0</v>
      </c>
      <c r="R11" s="22">
        <v>1.0</v>
      </c>
      <c r="S11" s="22">
        <v>1.0</v>
      </c>
      <c r="T11" s="26">
        <v>1.0</v>
      </c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8">
        <f t="shared" si="1"/>
        <v>17</v>
      </c>
      <c r="BE11" s="23">
        <f t="shared" si="2"/>
        <v>113.3333333</v>
      </c>
    </row>
    <row r="12">
      <c r="A12" s="9">
        <v>6.0</v>
      </c>
      <c r="B12" s="24">
        <v>2.02401100300079E14</v>
      </c>
      <c r="C12" s="25" t="s">
        <v>21</v>
      </c>
      <c r="D12" s="21">
        <v>0.0</v>
      </c>
      <c r="E12" s="28">
        <v>0.0</v>
      </c>
      <c r="F12" s="9">
        <v>1.0</v>
      </c>
      <c r="G12" s="9">
        <v>1.0</v>
      </c>
      <c r="H12" s="9">
        <v>1.0</v>
      </c>
      <c r="I12" s="9">
        <v>1.0</v>
      </c>
      <c r="J12" s="9">
        <v>1.0</v>
      </c>
      <c r="K12" s="9">
        <v>1.0</v>
      </c>
      <c r="L12" s="9">
        <v>1.0</v>
      </c>
      <c r="M12" s="9">
        <v>1.0</v>
      </c>
      <c r="N12" s="9">
        <v>1.0</v>
      </c>
      <c r="O12" s="9">
        <v>1.0</v>
      </c>
      <c r="P12" s="9">
        <v>1.0</v>
      </c>
      <c r="Q12" s="9">
        <v>1.0</v>
      </c>
      <c r="R12" s="22">
        <v>1.0</v>
      </c>
      <c r="S12" s="22">
        <v>1.0</v>
      </c>
      <c r="T12" s="26">
        <v>1.0</v>
      </c>
      <c r="U12" s="27">
        <v>0.0</v>
      </c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8">
        <f t="shared" si="1"/>
        <v>15</v>
      </c>
      <c r="BE12" s="23">
        <f t="shared" si="2"/>
        <v>88.23529412</v>
      </c>
    </row>
    <row r="13">
      <c r="A13" s="9">
        <v>7.0</v>
      </c>
      <c r="B13" s="24">
        <v>2.0240110030008E14</v>
      </c>
      <c r="C13" s="25" t="s">
        <v>22</v>
      </c>
      <c r="D13" s="9">
        <v>1.0</v>
      </c>
      <c r="E13" s="18">
        <v>1.0</v>
      </c>
      <c r="F13" s="9">
        <v>1.0</v>
      </c>
      <c r="G13" s="9">
        <v>1.0</v>
      </c>
      <c r="H13" s="9">
        <v>1.0</v>
      </c>
      <c r="I13" s="9">
        <v>1.0</v>
      </c>
      <c r="J13" s="9">
        <v>1.0</v>
      </c>
      <c r="K13" s="9">
        <v>1.0</v>
      </c>
      <c r="L13" s="21">
        <v>0.0</v>
      </c>
      <c r="M13" s="21">
        <v>0.0</v>
      </c>
      <c r="N13" s="21">
        <v>0.0</v>
      </c>
      <c r="O13" s="21">
        <v>0.0</v>
      </c>
      <c r="P13" s="21">
        <v>0.0</v>
      </c>
      <c r="Q13" s="21">
        <v>0.0</v>
      </c>
      <c r="R13" s="22">
        <v>1.0</v>
      </c>
      <c r="S13" s="22">
        <v>1.0</v>
      </c>
      <c r="T13" s="26">
        <v>1.0</v>
      </c>
      <c r="U13" s="27">
        <v>0.0</v>
      </c>
      <c r="V13" s="27">
        <v>0.0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8">
        <f t="shared" si="1"/>
        <v>11</v>
      </c>
      <c r="BE13" s="23">
        <f t="shared" si="2"/>
        <v>73.33333333</v>
      </c>
    </row>
    <row r="14">
      <c r="A14" s="9">
        <v>8.0</v>
      </c>
      <c r="B14" s="24">
        <v>2.02401100300081E14</v>
      </c>
      <c r="C14" s="25" t="s">
        <v>23</v>
      </c>
      <c r="D14" s="21">
        <v>0.0</v>
      </c>
      <c r="E14" s="28">
        <v>0.0</v>
      </c>
      <c r="F14" s="9">
        <v>1.0</v>
      </c>
      <c r="G14" s="9">
        <v>1.0</v>
      </c>
      <c r="H14" s="9">
        <v>1.0</v>
      </c>
      <c r="I14" s="9">
        <v>1.0</v>
      </c>
      <c r="J14" s="9">
        <v>1.0</v>
      </c>
      <c r="K14" s="9">
        <v>1.0</v>
      </c>
      <c r="L14" s="9">
        <v>1.0</v>
      </c>
      <c r="M14" s="9">
        <v>1.0</v>
      </c>
      <c r="N14" s="9">
        <v>1.0</v>
      </c>
      <c r="O14" s="9">
        <v>1.0</v>
      </c>
      <c r="P14" s="9">
        <v>1.0</v>
      </c>
      <c r="Q14" s="9">
        <v>1.0</v>
      </c>
      <c r="R14" s="22">
        <v>0.0</v>
      </c>
      <c r="S14" s="22">
        <v>0.0</v>
      </c>
      <c r="T14" s="26">
        <v>1.0</v>
      </c>
      <c r="U14" s="27">
        <v>0.0</v>
      </c>
      <c r="V14" s="27">
        <v>0.0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8">
        <f t="shared" si="1"/>
        <v>13</v>
      </c>
      <c r="BE14" s="23">
        <f t="shared" si="2"/>
        <v>118.1818182</v>
      </c>
    </row>
    <row r="15">
      <c r="A15" s="9">
        <v>9.0</v>
      </c>
      <c r="B15" s="24">
        <v>2.02401100300082E14</v>
      </c>
      <c r="C15" s="25" t="s">
        <v>24</v>
      </c>
      <c r="D15" s="9">
        <v>1.0</v>
      </c>
      <c r="E15" s="18">
        <v>1.0</v>
      </c>
      <c r="F15" s="9">
        <v>1.0</v>
      </c>
      <c r="G15" s="9">
        <v>1.0</v>
      </c>
      <c r="H15" s="21">
        <v>0.0</v>
      </c>
      <c r="I15" s="21">
        <v>0.0</v>
      </c>
      <c r="J15" s="9">
        <v>1.0</v>
      </c>
      <c r="K15" s="9">
        <v>1.0</v>
      </c>
      <c r="L15" s="9">
        <v>1.0</v>
      </c>
      <c r="M15" s="9">
        <v>1.0</v>
      </c>
      <c r="N15" s="9">
        <v>1.0</v>
      </c>
      <c r="O15" s="9">
        <v>1.0</v>
      </c>
      <c r="P15" s="9">
        <v>1.0</v>
      </c>
      <c r="Q15" s="9">
        <v>1.0</v>
      </c>
      <c r="R15" s="22">
        <v>1.0</v>
      </c>
      <c r="S15" s="22">
        <v>1.0</v>
      </c>
      <c r="T15" s="26">
        <v>1.0</v>
      </c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8">
        <f t="shared" si="1"/>
        <v>15</v>
      </c>
      <c r="BE15" s="23">
        <f t="shared" si="2"/>
        <v>115.3846154</v>
      </c>
    </row>
    <row r="16">
      <c r="A16" s="9">
        <v>10.0</v>
      </c>
      <c r="B16" s="24">
        <v>2.02401100300083E14</v>
      </c>
      <c r="C16" s="25" t="s">
        <v>25</v>
      </c>
      <c r="D16" s="9">
        <v>1.0</v>
      </c>
      <c r="E16" s="18">
        <v>1.0</v>
      </c>
      <c r="F16" s="9">
        <v>1.0</v>
      </c>
      <c r="G16" s="9">
        <v>1.0</v>
      </c>
      <c r="H16" s="9">
        <v>1.0</v>
      </c>
      <c r="I16" s="9">
        <v>1.0</v>
      </c>
      <c r="J16" s="9">
        <v>1.0</v>
      </c>
      <c r="K16" s="9">
        <v>1.0</v>
      </c>
      <c r="L16" s="9">
        <v>1.0</v>
      </c>
      <c r="M16" s="9">
        <v>1.0</v>
      </c>
      <c r="N16" s="9">
        <v>1.0</v>
      </c>
      <c r="O16" s="9">
        <v>1.0</v>
      </c>
      <c r="P16" s="9">
        <v>1.0</v>
      </c>
      <c r="Q16" s="9">
        <v>1.0</v>
      </c>
      <c r="R16" s="22">
        <v>1.0</v>
      </c>
      <c r="S16" s="22">
        <v>1.0</v>
      </c>
      <c r="T16" s="26">
        <v>1.0</v>
      </c>
      <c r="U16" s="27">
        <v>0.0</v>
      </c>
      <c r="V16" s="27">
        <v>0.0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8">
        <f t="shared" si="1"/>
        <v>17</v>
      </c>
      <c r="BE16" s="23">
        <f t="shared" si="2"/>
        <v>113.3333333</v>
      </c>
    </row>
    <row r="17">
      <c r="A17" s="9">
        <v>11.0</v>
      </c>
      <c r="B17" s="24">
        <v>2.02401100300084E14</v>
      </c>
      <c r="C17" s="25" t="s">
        <v>26</v>
      </c>
      <c r="D17" s="9">
        <v>1.0</v>
      </c>
      <c r="E17" s="18">
        <v>1.0</v>
      </c>
      <c r="F17" s="9">
        <v>1.0</v>
      </c>
      <c r="G17" s="9">
        <v>1.0</v>
      </c>
      <c r="H17" s="9">
        <v>1.0</v>
      </c>
      <c r="I17" s="9">
        <v>1.0</v>
      </c>
      <c r="J17" s="9">
        <v>1.0</v>
      </c>
      <c r="K17" s="9">
        <v>1.0</v>
      </c>
      <c r="L17" s="9">
        <v>1.0</v>
      </c>
      <c r="M17" s="9">
        <v>1.0</v>
      </c>
      <c r="N17" s="9">
        <v>1.0</v>
      </c>
      <c r="O17" s="9">
        <v>1.0</v>
      </c>
      <c r="P17" s="9">
        <v>1.0</v>
      </c>
      <c r="Q17" s="9">
        <v>1.0</v>
      </c>
      <c r="R17" s="22">
        <v>1.0</v>
      </c>
      <c r="S17" s="22">
        <v>1.0</v>
      </c>
      <c r="T17" s="26">
        <v>1.0</v>
      </c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8">
        <f t="shared" si="1"/>
        <v>17</v>
      </c>
      <c r="BE17" s="23">
        <f t="shared" si="2"/>
        <v>100</v>
      </c>
    </row>
    <row r="18">
      <c r="A18" s="9">
        <v>12.0</v>
      </c>
      <c r="B18" s="24">
        <v>2.02401100300085E14</v>
      </c>
      <c r="C18" s="25" t="s">
        <v>27</v>
      </c>
      <c r="D18" s="9">
        <v>1.0</v>
      </c>
      <c r="E18" s="18">
        <v>1.0</v>
      </c>
      <c r="F18" s="9">
        <v>1.0</v>
      </c>
      <c r="G18" s="9">
        <v>1.0</v>
      </c>
      <c r="H18" s="9">
        <v>1.0</v>
      </c>
      <c r="I18" s="9">
        <v>1.0</v>
      </c>
      <c r="J18" s="9">
        <v>1.0</v>
      </c>
      <c r="K18" s="9">
        <v>1.0</v>
      </c>
      <c r="L18" s="9">
        <v>1.0</v>
      </c>
      <c r="M18" s="9">
        <v>1.0</v>
      </c>
      <c r="N18" s="9">
        <v>1.0</v>
      </c>
      <c r="O18" s="9">
        <v>1.0</v>
      </c>
      <c r="P18" s="9">
        <v>1.0</v>
      </c>
      <c r="Q18" s="9">
        <v>1.0</v>
      </c>
      <c r="R18" s="22">
        <v>1.0</v>
      </c>
      <c r="S18" s="22">
        <v>1.0</v>
      </c>
      <c r="T18" s="26">
        <v>1.0</v>
      </c>
      <c r="U18" s="16"/>
      <c r="V18" s="27">
        <v>0.0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8">
        <f t="shared" si="1"/>
        <v>17</v>
      </c>
      <c r="BE18" s="23">
        <f t="shared" si="2"/>
        <v>100</v>
      </c>
    </row>
    <row r="19">
      <c r="A19" s="9">
        <v>13.0</v>
      </c>
      <c r="B19" s="24">
        <v>2.02401100300086E14</v>
      </c>
      <c r="C19" s="25" t="s">
        <v>28</v>
      </c>
      <c r="D19" s="21">
        <v>0.0</v>
      </c>
      <c r="E19" s="28">
        <v>0.0</v>
      </c>
      <c r="F19" s="9">
        <v>1.0</v>
      </c>
      <c r="G19" s="9">
        <v>1.0</v>
      </c>
      <c r="H19" s="9">
        <v>1.0</v>
      </c>
      <c r="I19" s="9">
        <v>1.0</v>
      </c>
      <c r="J19" s="9">
        <v>1.0</v>
      </c>
      <c r="K19" s="9">
        <v>1.0</v>
      </c>
      <c r="L19" s="9">
        <v>1.0</v>
      </c>
      <c r="M19" s="9">
        <v>1.0</v>
      </c>
      <c r="N19" s="9">
        <v>1.0</v>
      </c>
      <c r="O19" s="9">
        <v>1.0</v>
      </c>
      <c r="P19" s="9">
        <v>1.0</v>
      </c>
      <c r="Q19" s="9">
        <v>1.0</v>
      </c>
      <c r="R19" s="22">
        <v>1.0</v>
      </c>
      <c r="S19" s="22">
        <v>1.0</v>
      </c>
      <c r="T19" s="26">
        <v>1.0</v>
      </c>
      <c r="U19" s="16"/>
      <c r="V19" s="27">
        <v>0.0</v>
      </c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8">
        <f t="shared" si="1"/>
        <v>15</v>
      </c>
      <c r="BE19" s="23">
        <f t="shared" si="2"/>
        <v>88.23529412</v>
      </c>
    </row>
    <row r="20">
      <c r="A20" s="9">
        <v>14.0</v>
      </c>
      <c r="B20" s="24">
        <v>2.02401100300088E14</v>
      </c>
      <c r="C20" s="25" t="s">
        <v>29</v>
      </c>
      <c r="D20" s="9">
        <v>1.0</v>
      </c>
      <c r="E20" s="18">
        <v>1.0</v>
      </c>
      <c r="F20" s="9">
        <v>1.0</v>
      </c>
      <c r="G20" s="9">
        <v>1.0</v>
      </c>
      <c r="H20" s="9">
        <v>1.0</v>
      </c>
      <c r="I20" s="9">
        <v>1.0</v>
      </c>
      <c r="J20" s="9">
        <v>1.0</v>
      </c>
      <c r="K20" s="9">
        <v>1.0</v>
      </c>
      <c r="L20" s="21">
        <v>0.0</v>
      </c>
      <c r="M20" s="21">
        <v>0.0</v>
      </c>
      <c r="N20" s="21">
        <v>0.0</v>
      </c>
      <c r="O20" s="21">
        <v>0.0</v>
      </c>
      <c r="P20" s="9">
        <v>1.0</v>
      </c>
      <c r="Q20" s="9">
        <v>1.0</v>
      </c>
      <c r="R20" s="22">
        <v>1.0</v>
      </c>
      <c r="S20" s="22">
        <v>1.0</v>
      </c>
      <c r="T20" s="27">
        <v>0.0</v>
      </c>
      <c r="U20" s="16"/>
      <c r="V20" s="26">
        <v>1.0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8">
        <f t="shared" si="1"/>
        <v>13</v>
      </c>
      <c r="BE20" s="23">
        <f t="shared" si="2"/>
        <v>86.66666667</v>
      </c>
    </row>
    <row r="21">
      <c r="A21" s="9">
        <v>15.0</v>
      </c>
      <c r="B21" s="24">
        <v>2.02401100300089E14</v>
      </c>
      <c r="C21" s="25" t="s">
        <v>30</v>
      </c>
      <c r="D21" s="9">
        <v>1.0</v>
      </c>
      <c r="E21" s="18">
        <v>1.0</v>
      </c>
      <c r="F21" s="9">
        <v>1.0</v>
      </c>
      <c r="G21" s="9">
        <v>1.0</v>
      </c>
      <c r="H21" s="21">
        <v>0.0</v>
      </c>
      <c r="I21" s="21">
        <v>0.0</v>
      </c>
      <c r="J21" s="9">
        <v>1.0</v>
      </c>
      <c r="K21" s="9">
        <v>1.0</v>
      </c>
      <c r="L21" s="9">
        <v>1.0</v>
      </c>
      <c r="M21" s="9">
        <v>1.0</v>
      </c>
      <c r="N21" s="9">
        <v>1.0</v>
      </c>
      <c r="O21" s="9">
        <v>1.0</v>
      </c>
      <c r="P21" s="9">
        <v>1.0</v>
      </c>
      <c r="Q21" s="9">
        <v>1.0</v>
      </c>
      <c r="R21" s="22">
        <v>1.0</v>
      </c>
      <c r="S21" s="22">
        <v>1.0</v>
      </c>
      <c r="T21" s="26">
        <v>1.0</v>
      </c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8">
        <f t="shared" si="1"/>
        <v>15</v>
      </c>
      <c r="BE21" s="23">
        <f t="shared" si="2"/>
        <v>115.3846154</v>
      </c>
    </row>
    <row r="22">
      <c r="A22" s="9">
        <v>16.0</v>
      </c>
      <c r="B22" s="24">
        <v>2.0240110030009E14</v>
      </c>
      <c r="C22" s="25" t="s">
        <v>31</v>
      </c>
      <c r="D22" s="21">
        <v>0.0</v>
      </c>
      <c r="E22" s="28">
        <v>0.0</v>
      </c>
      <c r="F22" s="9">
        <v>1.0</v>
      </c>
      <c r="G22" s="9">
        <v>1.0</v>
      </c>
      <c r="H22" s="9">
        <v>1.0</v>
      </c>
      <c r="I22" s="9">
        <v>1.0</v>
      </c>
      <c r="J22" s="9">
        <v>1.0</v>
      </c>
      <c r="K22" s="9">
        <v>1.0</v>
      </c>
      <c r="L22" s="9">
        <v>1.0</v>
      </c>
      <c r="M22" s="9">
        <v>1.0</v>
      </c>
      <c r="N22" s="9">
        <v>1.0</v>
      </c>
      <c r="O22" s="9">
        <v>1.0</v>
      </c>
      <c r="P22" s="9">
        <v>1.0</v>
      </c>
      <c r="Q22" s="9">
        <v>1.0</v>
      </c>
      <c r="R22" s="22">
        <v>1.0</v>
      </c>
      <c r="S22" s="22">
        <v>1.0</v>
      </c>
      <c r="T22" s="26">
        <v>1.0</v>
      </c>
      <c r="U22" s="27">
        <v>0.0</v>
      </c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8">
        <f t="shared" si="1"/>
        <v>15</v>
      </c>
      <c r="BE22" s="23">
        <f t="shared" si="2"/>
        <v>100</v>
      </c>
    </row>
    <row r="23">
      <c r="A23" s="9">
        <v>17.0</v>
      </c>
      <c r="B23" s="24">
        <v>2.02401100300091E14</v>
      </c>
      <c r="C23" s="25" t="s">
        <v>32</v>
      </c>
      <c r="D23" s="21">
        <v>0.0</v>
      </c>
      <c r="E23" s="28">
        <v>0.0</v>
      </c>
      <c r="F23" s="9">
        <v>1.0</v>
      </c>
      <c r="G23" s="9">
        <v>1.0</v>
      </c>
      <c r="H23" s="9">
        <v>1.0</v>
      </c>
      <c r="I23" s="9">
        <v>1.0</v>
      </c>
      <c r="J23" s="21">
        <v>0.0</v>
      </c>
      <c r="K23" s="21">
        <v>0.0</v>
      </c>
      <c r="L23" s="9">
        <v>1.0</v>
      </c>
      <c r="M23" s="9">
        <v>1.0</v>
      </c>
      <c r="N23" s="9">
        <v>1.0</v>
      </c>
      <c r="O23" s="9">
        <v>1.0</v>
      </c>
      <c r="P23" s="9">
        <v>1.0</v>
      </c>
      <c r="Q23" s="9">
        <v>1.0</v>
      </c>
      <c r="R23" s="22">
        <v>1.0</v>
      </c>
      <c r="S23" s="22">
        <v>1.0</v>
      </c>
      <c r="T23" s="26">
        <v>1.0</v>
      </c>
      <c r="U23" s="27">
        <v>0.0</v>
      </c>
      <c r="V23" s="27">
        <v>0.0</v>
      </c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8">
        <f t="shared" si="1"/>
        <v>13</v>
      </c>
      <c r="BE23" s="23">
        <f t="shared" si="2"/>
        <v>86.66666667</v>
      </c>
    </row>
    <row r="24">
      <c r="A24" s="9">
        <v>18.0</v>
      </c>
      <c r="B24" s="24">
        <v>2.02401100300092E14</v>
      </c>
      <c r="C24" s="25" t="s">
        <v>33</v>
      </c>
      <c r="D24" s="9">
        <v>1.0</v>
      </c>
      <c r="E24" s="18">
        <v>1.0</v>
      </c>
      <c r="F24" s="9">
        <v>1.0</v>
      </c>
      <c r="G24" s="9">
        <v>1.0</v>
      </c>
      <c r="H24" s="9">
        <v>1.0</v>
      </c>
      <c r="I24" s="9">
        <v>1.0</v>
      </c>
      <c r="J24" s="9">
        <v>1.0</v>
      </c>
      <c r="K24" s="9">
        <v>1.0</v>
      </c>
      <c r="L24" s="21">
        <v>0.0</v>
      </c>
      <c r="M24" s="21">
        <v>0.0</v>
      </c>
      <c r="N24" s="9">
        <v>1.0</v>
      </c>
      <c r="O24" s="9">
        <v>1.0</v>
      </c>
      <c r="P24" s="9">
        <v>1.0</v>
      </c>
      <c r="Q24" s="9">
        <v>1.0</v>
      </c>
      <c r="R24" s="22">
        <v>1.0</v>
      </c>
      <c r="S24" s="22">
        <v>1.0</v>
      </c>
      <c r="T24" s="26">
        <v>1.0</v>
      </c>
      <c r="U24" s="27">
        <v>0.0</v>
      </c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8">
        <f t="shared" si="1"/>
        <v>15</v>
      </c>
      <c r="BE24" s="23">
        <f t="shared" si="2"/>
        <v>115.3846154</v>
      </c>
    </row>
    <row r="25">
      <c r="A25" s="9">
        <v>19.0</v>
      </c>
      <c r="B25" s="29">
        <v>2.02401100300093E14</v>
      </c>
      <c r="C25" s="30" t="s">
        <v>34</v>
      </c>
      <c r="D25" s="9">
        <v>1.0</v>
      </c>
      <c r="E25" s="18">
        <v>1.0</v>
      </c>
      <c r="F25" s="9">
        <v>1.0</v>
      </c>
      <c r="G25" s="9">
        <v>1.0</v>
      </c>
      <c r="H25" s="9">
        <v>1.0</v>
      </c>
      <c r="I25" s="9">
        <v>1.0</v>
      </c>
      <c r="J25" s="9">
        <v>1.0</v>
      </c>
      <c r="K25" s="9">
        <v>1.0</v>
      </c>
      <c r="L25" s="9">
        <v>1.0</v>
      </c>
      <c r="M25" s="9">
        <v>1.0</v>
      </c>
      <c r="N25" s="21">
        <v>0.0</v>
      </c>
      <c r="O25" s="21">
        <v>0.0</v>
      </c>
      <c r="P25" s="9">
        <v>1.0</v>
      </c>
      <c r="Q25" s="9">
        <v>1.0</v>
      </c>
      <c r="R25" s="22">
        <v>1.0</v>
      </c>
      <c r="S25" s="22">
        <v>1.0</v>
      </c>
      <c r="T25" s="26">
        <v>1.0</v>
      </c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8">
        <f t="shared" si="1"/>
        <v>15</v>
      </c>
      <c r="BE25" s="23">
        <f t="shared" si="2"/>
        <v>100</v>
      </c>
    </row>
    <row r="26">
      <c r="A26" s="9">
        <v>20.0</v>
      </c>
      <c r="B26" s="29">
        <v>2.02401100300094E14</v>
      </c>
      <c r="C26" s="30" t="s">
        <v>35</v>
      </c>
      <c r="D26" s="9">
        <v>1.0</v>
      </c>
      <c r="E26" s="18">
        <v>1.0</v>
      </c>
      <c r="F26" s="9">
        <v>1.0</v>
      </c>
      <c r="G26" s="9">
        <v>1.0</v>
      </c>
      <c r="H26" s="9">
        <v>1.0</v>
      </c>
      <c r="I26" s="9">
        <v>1.0</v>
      </c>
      <c r="J26" s="9">
        <v>1.0</v>
      </c>
      <c r="K26" s="9">
        <v>1.0</v>
      </c>
      <c r="L26" s="9">
        <v>1.0</v>
      </c>
      <c r="M26" s="9">
        <v>1.0</v>
      </c>
      <c r="N26" s="9">
        <v>1.0</v>
      </c>
      <c r="O26" s="9">
        <v>1.0</v>
      </c>
      <c r="P26" s="9">
        <v>1.0</v>
      </c>
      <c r="Q26" s="9">
        <v>1.0</v>
      </c>
      <c r="R26" s="22">
        <v>1.0</v>
      </c>
      <c r="S26" s="22">
        <v>1.0</v>
      </c>
      <c r="T26" s="26">
        <v>1.0</v>
      </c>
      <c r="U26" s="16"/>
      <c r="V26" s="27">
        <v>0.0</v>
      </c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8">
        <f t="shared" si="1"/>
        <v>17</v>
      </c>
      <c r="BE26" s="23">
        <f t="shared" si="2"/>
        <v>113.3333333</v>
      </c>
    </row>
    <row r="27">
      <c r="A27" s="9">
        <v>21.0</v>
      </c>
      <c r="B27" s="29">
        <v>2.02401100300095E14</v>
      </c>
      <c r="C27" s="30" t="s">
        <v>36</v>
      </c>
      <c r="D27" s="21">
        <v>0.0</v>
      </c>
      <c r="E27" s="28">
        <v>0.0</v>
      </c>
      <c r="F27" s="9">
        <v>1.0</v>
      </c>
      <c r="G27" s="9">
        <v>1.0</v>
      </c>
      <c r="H27" s="9">
        <v>1.0</v>
      </c>
      <c r="I27" s="9">
        <v>1.0</v>
      </c>
      <c r="J27" s="9">
        <v>1.0</v>
      </c>
      <c r="K27" s="9">
        <v>1.0</v>
      </c>
      <c r="L27" s="9">
        <v>1.0</v>
      </c>
      <c r="M27" s="9">
        <v>1.0</v>
      </c>
      <c r="N27" s="9">
        <v>1.0</v>
      </c>
      <c r="O27" s="9">
        <v>1.0</v>
      </c>
      <c r="P27" s="9">
        <v>1.0</v>
      </c>
      <c r="Q27" s="9">
        <v>1.0</v>
      </c>
      <c r="R27" s="22">
        <v>1.0</v>
      </c>
      <c r="S27" s="22">
        <v>1.0</v>
      </c>
      <c r="T27" s="26">
        <v>1.0</v>
      </c>
      <c r="U27" s="27">
        <v>0.0</v>
      </c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8">
        <f t="shared" si="1"/>
        <v>15</v>
      </c>
      <c r="BE27" s="23">
        <f t="shared" si="2"/>
        <v>88.23529412</v>
      </c>
    </row>
    <row r="28">
      <c r="A28" s="9">
        <v>22.0</v>
      </c>
      <c r="B28" s="29">
        <v>2.02401100300096E14</v>
      </c>
      <c r="C28" s="30" t="s">
        <v>37</v>
      </c>
      <c r="D28" s="21">
        <v>0.0</v>
      </c>
      <c r="E28" s="28">
        <v>0.0</v>
      </c>
      <c r="F28" s="21">
        <v>0.0</v>
      </c>
      <c r="G28" s="21">
        <v>0.0</v>
      </c>
      <c r="H28" s="9">
        <v>1.0</v>
      </c>
      <c r="I28" s="9">
        <v>1.0</v>
      </c>
      <c r="J28" s="21">
        <v>0.0</v>
      </c>
      <c r="K28" s="21">
        <v>0.0</v>
      </c>
      <c r="L28" s="21">
        <v>0.0</v>
      </c>
      <c r="M28" s="21">
        <v>0.0</v>
      </c>
      <c r="N28" s="21">
        <v>0.0</v>
      </c>
      <c r="O28" s="21">
        <v>0.0</v>
      </c>
      <c r="P28" s="9">
        <v>1.0</v>
      </c>
      <c r="Q28" s="9">
        <v>1.0</v>
      </c>
      <c r="R28" s="22">
        <v>0.0</v>
      </c>
      <c r="S28" s="22">
        <v>0.0</v>
      </c>
      <c r="T28" s="26">
        <v>1.0</v>
      </c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8">
        <f t="shared" si="1"/>
        <v>5</v>
      </c>
      <c r="BE28" s="23">
        <f t="shared" si="2"/>
        <v>33.33333333</v>
      </c>
    </row>
    <row r="29">
      <c r="A29" s="9">
        <v>23.0</v>
      </c>
      <c r="B29" s="29">
        <v>2.02401100300097E14</v>
      </c>
      <c r="C29" s="30" t="s">
        <v>38</v>
      </c>
      <c r="D29" s="21">
        <v>0.0</v>
      </c>
      <c r="E29" s="28">
        <v>0.0</v>
      </c>
      <c r="F29" s="21">
        <v>0.0</v>
      </c>
      <c r="G29" s="21">
        <v>0.0</v>
      </c>
      <c r="H29" s="9">
        <v>1.0</v>
      </c>
      <c r="I29" s="9">
        <v>1.0</v>
      </c>
      <c r="J29" s="9">
        <v>1.0</v>
      </c>
      <c r="K29" s="9">
        <v>1.0</v>
      </c>
      <c r="L29" s="21">
        <v>0.0</v>
      </c>
      <c r="M29" s="21">
        <v>0.0</v>
      </c>
      <c r="N29" s="21">
        <v>0.0</v>
      </c>
      <c r="O29" s="21">
        <v>0.0</v>
      </c>
      <c r="P29" s="9">
        <v>1.0</v>
      </c>
      <c r="Q29" s="9">
        <v>1.0</v>
      </c>
      <c r="R29" s="22">
        <v>1.0</v>
      </c>
      <c r="S29" s="22">
        <v>1.0</v>
      </c>
      <c r="T29" s="26">
        <v>1.0</v>
      </c>
      <c r="U29" s="27">
        <v>0.0</v>
      </c>
      <c r="V29" s="27">
        <v>0.0</v>
      </c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8">
        <f t="shared" si="1"/>
        <v>9</v>
      </c>
      <c r="BE29" s="23">
        <f t="shared" si="2"/>
        <v>180</v>
      </c>
    </row>
    <row r="30">
      <c r="A30" s="9">
        <v>24.0</v>
      </c>
      <c r="B30" s="29">
        <v>2.02401100300098E14</v>
      </c>
      <c r="C30" s="30" t="s">
        <v>39</v>
      </c>
      <c r="D30" s="9">
        <v>1.0</v>
      </c>
      <c r="E30" s="18">
        <v>1.0</v>
      </c>
      <c r="F30" s="9">
        <v>1.0</v>
      </c>
      <c r="G30" s="9">
        <v>1.0</v>
      </c>
      <c r="H30" s="21">
        <v>0.0</v>
      </c>
      <c r="I30" s="21">
        <v>0.0</v>
      </c>
      <c r="J30" s="9">
        <v>1.0</v>
      </c>
      <c r="K30" s="9">
        <v>1.0</v>
      </c>
      <c r="L30" s="9">
        <v>1.0</v>
      </c>
      <c r="M30" s="9">
        <v>1.0</v>
      </c>
      <c r="N30" s="9">
        <v>1.0</v>
      </c>
      <c r="O30" s="9">
        <v>1.0</v>
      </c>
      <c r="P30" s="9">
        <v>1.0</v>
      </c>
      <c r="Q30" s="9">
        <v>1.0</v>
      </c>
      <c r="R30" s="22">
        <v>1.0</v>
      </c>
      <c r="S30" s="22">
        <v>1.0</v>
      </c>
      <c r="T30" s="26">
        <v>1.0</v>
      </c>
      <c r="U30" s="27">
        <v>0.0</v>
      </c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8">
        <f t="shared" si="1"/>
        <v>15</v>
      </c>
      <c r="BE30" s="23">
        <f t="shared" si="2"/>
        <v>166.6666667</v>
      </c>
    </row>
    <row r="31">
      <c r="A31" s="9">
        <v>25.0</v>
      </c>
      <c r="B31" s="29">
        <v>2.02401100300099E14</v>
      </c>
      <c r="C31" s="30" t="s">
        <v>40</v>
      </c>
      <c r="D31" s="9">
        <v>1.0</v>
      </c>
      <c r="E31" s="18">
        <v>1.0</v>
      </c>
      <c r="F31" s="9">
        <v>1.0</v>
      </c>
      <c r="G31" s="9">
        <v>1.0</v>
      </c>
      <c r="H31" s="9">
        <v>1.0</v>
      </c>
      <c r="I31" s="9">
        <v>1.0</v>
      </c>
      <c r="J31" s="9">
        <v>1.0</v>
      </c>
      <c r="K31" s="9">
        <v>1.0</v>
      </c>
      <c r="L31" s="9">
        <v>1.0</v>
      </c>
      <c r="M31" s="9">
        <v>1.0</v>
      </c>
      <c r="N31" s="9">
        <v>1.0</v>
      </c>
      <c r="O31" s="9">
        <v>1.0</v>
      </c>
      <c r="P31" s="9">
        <v>1.0</v>
      </c>
      <c r="Q31" s="9">
        <v>1.0</v>
      </c>
      <c r="R31" s="22">
        <v>1.0</v>
      </c>
      <c r="S31" s="22">
        <v>1.0</v>
      </c>
      <c r="T31" s="26">
        <v>1.0</v>
      </c>
      <c r="U31" s="27">
        <v>0.0</v>
      </c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8">
        <f t="shared" si="1"/>
        <v>17</v>
      </c>
      <c r="BE31" s="23">
        <f t="shared" si="2"/>
        <v>113.3333333</v>
      </c>
    </row>
    <row r="32">
      <c r="A32" s="9">
        <v>26.0</v>
      </c>
      <c r="B32" s="29">
        <v>2.024011003001E14</v>
      </c>
      <c r="C32" s="30" t="s">
        <v>41</v>
      </c>
      <c r="D32" s="9">
        <v>1.0</v>
      </c>
      <c r="E32" s="18">
        <v>1.0</v>
      </c>
      <c r="F32" s="9">
        <v>1.0</v>
      </c>
      <c r="G32" s="9">
        <v>1.0</v>
      </c>
      <c r="H32" s="9">
        <v>1.0</v>
      </c>
      <c r="I32" s="9">
        <v>1.0</v>
      </c>
      <c r="J32" s="9">
        <v>1.0</v>
      </c>
      <c r="K32" s="9">
        <v>1.0</v>
      </c>
      <c r="L32" s="9">
        <v>1.0</v>
      </c>
      <c r="M32" s="9">
        <v>1.0</v>
      </c>
      <c r="N32" s="9">
        <v>1.0</v>
      </c>
      <c r="O32" s="9">
        <v>1.0</v>
      </c>
      <c r="P32" s="9">
        <v>1.0</v>
      </c>
      <c r="Q32" s="9">
        <v>1.0</v>
      </c>
      <c r="R32" s="22">
        <v>1.0</v>
      </c>
      <c r="S32" s="22">
        <v>1.0</v>
      </c>
      <c r="T32" s="26">
        <v>1.0</v>
      </c>
      <c r="U32" s="27">
        <v>0.0</v>
      </c>
      <c r="V32" s="27">
        <v>0.0</v>
      </c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8">
        <f t="shared" si="1"/>
        <v>17</v>
      </c>
      <c r="BE32" s="23">
        <f t="shared" si="2"/>
        <v>100</v>
      </c>
    </row>
    <row r="33">
      <c r="A33" s="9">
        <v>27.0</v>
      </c>
      <c r="B33" s="29">
        <v>2.02401100300101E14</v>
      </c>
      <c r="C33" s="30" t="s">
        <v>42</v>
      </c>
      <c r="D33" s="9">
        <v>1.0</v>
      </c>
      <c r="E33" s="18">
        <v>1.0</v>
      </c>
      <c r="F33" s="9">
        <v>1.0</v>
      </c>
      <c r="G33" s="9">
        <v>1.0</v>
      </c>
      <c r="H33" s="9">
        <v>1.0</v>
      </c>
      <c r="I33" s="9">
        <v>1.0</v>
      </c>
      <c r="J33" s="9">
        <v>1.0</v>
      </c>
      <c r="K33" s="9">
        <v>1.0</v>
      </c>
      <c r="L33" s="9">
        <v>1.0</v>
      </c>
      <c r="M33" s="9">
        <v>1.0</v>
      </c>
      <c r="N33" s="9">
        <v>1.0</v>
      </c>
      <c r="O33" s="9">
        <v>1.0</v>
      </c>
      <c r="P33" s="9">
        <v>1.0</v>
      </c>
      <c r="Q33" s="9">
        <v>1.0</v>
      </c>
      <c r="R33" s="22">
        <v>1.0</v>
      </c>
      <c r="S33" s="22">
        <v>1.0</v>
      </c>
      <c r="T33" s="26">
        <v>1.0</v>
      </c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8">
        <f t="shared" si="1"/>
        <v>17</v>
      </c>
      <c r="BE33" s="23">
        <f t="shared" si="2"/>
        <v>100</v>
      </c>
    </row>
    <row r="34">
      <c r="A34" s="9">
        <v>28.0</v>
      </c>
      <c r="B34" s="29">
        <v>2.02401100300102E14</v>
      </c>
      <c r="C34" s="30" t="s">
        <v>43</v>
      </c>
      <c r="D34" s="21">
        <v>0.0</v>
      </c>
      <c r="E34" s="28">
        <v>0.0</v>
      </c>
      <c r="F34" s="9">
        <v>1.0</v>
      </c>
      <c r="G34" s="9">
        <v>1.0</v>
      </c>
      <c r="H34" s="9">
        <v>1.0</v>
      </c>
      <c r="I34" s="9">
        <v>1.0</v>
      </c>
      <c r="J34" s="9">
        <v>1.0</v>
      </c>
      <c r="K34" s="9">
        <v>1.0</v>
      </c>
      <c r="L34" s="9">
        <v>1.0</v>
      </c>
      <c r="M34" s="9">
        <v>1.0</v>
      </c>
      <c r="N34" s="9">
        <v>1.0</v>
      </c>
      <c r="O34" s="9">
        <v>1.0</v>
      </c>
      <c r="P34" s="9">
        <v>1.0</v>
      </c>
      <c r="Q34" s="9">
        <v>1.0</v>
      </c>
      <c r="R34" s="22">
        <v>1.0</v>
      </c>
      <c r="S34" s="22">
        <v>1.0</v>
      </c>
      <c r="T34" s="26">
        <v>1.0</v>
      </c>
      <c r="U34" s="16"/>
      <c r="V34" s="27">
        <v>0.0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8">
        <f t="shared" si="1"/>
        <v>15</v>
      </c>
      <c r="BE34" s="23">
        <f t="shared" si="2"/>
        <v>88.23529412</v>
      </c>
    </row>
    <row r="35">
      <c r="A35" s="9">
        <v>29.0</v>
      </c>
      <c r="B35" s="29">
        <v>2.02401100300103E14</v>
      </c>
      <c r="C35" s="30" t="s">
        <v>44</v>
      </c>
      <c r="D35" s="21">
        <v>0.0</v>
      </c>
      <c r="E35" s="28">
        <v>0.0</v>
      </c>
      <c r="F35" s="9">
        <v>1.0</v>
      </c>
      <c r="G35" s="9">
        <v>1.0</v>
      </c>
      <c r="H35" s="9">
        <v>1.0</v>
      </c>
      <c r="I35" s="9">
        <v>1.0</v>
      </c>
      <c r="J35" s="9">
        <v>1.0</v>
      </c>
      <c r="K35" s="9">
        <v>1.0</v>
      </c>
      <c r="L35" s="9">
        <v>1.0</v>
      </c>
      <c r="M35" s="9">
        <v>1.0</v>
      </c>
      <c r="N35" s="9">
        <v>1.0</v>
      </c>
      <c r="O35" s="9">
        <v>1.0</v>
      </c>
      <c r="P35" s="9">
        <v>1.0</v>
      </c>
      <c r="Q35" s="9">
        <v>1.0</v>
      </c>
      <c r="R35" s="22">
        <v>1.0</v>
      </c>
      <c r="S35" s="22">
        <v>1.0</v>
      </c>
      <c r="T35" s="27">
        <v>0.0</v>
      </c>
      <c r="U35" s="27">
        <v>0.0</v>
      </c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8">
        <f t="shared" si="1"/>
        <v>14</v>
      </c>
      <c r="BE35" s="23">
        <f t="shared" si="2"/>
        <v>93.33333333</v>
      </c>
    </row>
    <row r="36">
      <c r="A36" s="9">
        <v>30.0</v>
      </c>
      <c r="B36" s="29">
        <v>2.02401100300104E14</v>
      </c>
      <c r="C36" s="30" t="s">
        <v>45</v>
      </c>
      <c r="D36" s="9">
        <v>1.0</v>
      </c>
      <c r="E36" s="18">
        <v>1.0</v>
      </c>
      <c r="F36" s="21">
        <v>0.0</v>
      </c>
      <c r="G36" s="21">
        <v>0.0</v>
      </c>
      <c r="H36" s="9">
        <v>1.0</v>
      </c>
      <c r="I36" s="9">
        <v>1.0</v>
      </c>
      <c r="J36" s="9">
        <v>1.0</v>
      </c>
      <c r="K36" s="9">
        <v>1.0</v>
      </c>
      <c r="L36" s="9">
        <v>1.0</v>
      </c>
      <c r="M36" s="9">
        <v>1.0</v>
      </c>
      <c r="N36" s="9">
        <v>1.0</v>
      </c>
      <c r="O36" s="9">
        <v>1.0</v>
      </c>
      <c r="P36" s="9">
        <v>1.0</v>
      </c>
      <c r="Q36" s="9">
        <v>1.0</v>
      </c>
      <c r="R36" s="22">
        <v>1.0</v>
      </c>
      <c r="S36" s="22">
        <v>1.0</v>
      </c>
      <c r="T36" s="26">
        <v>1.0</v>
      </c>
      <c r="U36" s="16"/>
      <c r="V36" s="27">
        <v>0.0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8">
        <f t="shared" si="1"/>
        <v>15</v>
      </c>
      <c r="BE36" s="23">
        <f t="shared" si="2"/>
        <v>107.1428571</v>
      </c>
    </row>
    <row r="37">
      <c r="A37" s="9">
        <v>31.0</v>
      </c>
      <c r="B37" s="29">
        <v>2.02401100300105E14</v>
      </c>
      <c r="C37" s="30" t="s">
        <v>46</v>
      </c>
      <c r="D37" s="21">
        <v>0.0</v>
      </c>
      <c r="E37" s="28">
        <v>0.0</v>
      </c>
      <c r="F37" s="21">
        <v>0.0</v>
      </c>
      <c r="G37" s="21">
        <v>0.0</v>
      </c>
      <c r="H37" s="21">
        <v>0.0</v>
      </c>
      <c r="I37" s="21">
        <v>0.0</v>
      </c>
      <c r="J37" s="21">
        <v>0.0</v>
      </c>
      <c r="K37" s="21">
        <v>0.0</v>
      </c>
      <c r="L37" s="9">
        <v>1.0</v>
      </c>
      <c r="M37" s="9">
        <v>1.0</v>
      </c>
      <c r="N37" s="9">
        <v>1.0</v>
      </c>
      <c r="O37" s="9">
        <v>1.0</v>
      </c>
      <c r="P37" s="9">
        <v>1.0</v>
      </c>
      <c r="Q37" s="9">
        <v>1.0</v>
      </c>
      <c r="R37" s="22">
        <v>1.0</v>
      </c>
      <c r="S37" s="22">
        <v>1.0</v>
      </c>
      <c r="T37" s="26">
        <v>1.0</v>
      </c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8">
        <f t="shared" si="1"/>
        <v>9</v>
      </c>
      <c r="BE37" s="23">
        <f t="shared" si="2"/>
        <v>60</v>
      </c>
    </row>
    <row r="38">
      <c r="A38" s="9">
        <v>32.0</v>
      </c>
      <c r="B38" s="29">
        <v>2.02401100300106E14</v>
      </c>
      <c r="C38" s="30" t="s">
        <v>47</v>
      </c>
      <c r="D38" s="9">
        <v>1.0</v>
      </c>
      <c r="E38" s="18">
        <v>1.0</v>
      </c>
      <c r="F38" s="9">
        <v>1.0</v>
      </c>
      <c r="G38" s="9">
        <v>1.0</v>
      </c>
      <c r="H38" s="21">
        <v>0.0</v>
      </c>
      <c r="I38" s="21">
        <v>0.0</v>
      </c>
      <c r="J38" s="21">
        <v>0.0</v>
      </c>
      <c r="K38" s="21">
        <v>0.0</v>
      </c>
      <c r="L38" s="9">
        <v>1.0</v>
      </c>
      <c r="M38" s="9">
        <v>1.0</v>
      </c>
      <c r="N38" s="9">
        <v>1.0</v>
      </c>
      <c r="O38" s="9">
        <v>1.0</v>
      </c>
      <c r="P38" s="9">
        <v>1.0</v>
      </c>
      <c r="Q38" s="9">
        <v>1.0</v>
      </c>
      <c r="R38" s="22">
        <v>1.0</v>
      </c>
      <c r="S38" s="22">
        <v>1.0</v>
      </c>
      <c r="T38" s="26">
        <v>1.0</v>
      </c>
      <c r="U38" s="27">
        <v>0.0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8">
        <f t="shared" si="1"/>
        <v>13</v>
      </c>
      <c r="BE38" s="23">
        <f t="shared" si="2"/>
        <v>144.4444444</v>
      </c>
    </row>
    <row r="39">
      <c r="A39" s="9">
        <v>33.0</v>
      </c>
      <c r="B39" s="29">
        <v>2.02401100300107E14</v>
      </c>
      <c r="C39" s="30" t="s">
        <v>48</v>
      </c>
      <c r="D39" s="21">
        <v>0.0</v>
      </c>
      <c r="E39" s="28">
        <v>0.0</v>
      </c>
      <c r="F39" s="9">
        <v>1.0</v>
      </c>
      <c r="G39" s="9">
        <v>1.0</v>
      </c>
      <c r="H39" s="9">
        <v>1.0</v>
      </c>
      <c r="I39" s="9">
        <v>1.0</v>
      </c>
      <c r="J39" s="9">
        <v>1.0</v>
      </c>
      <c r="K39" s="9">
        <v>1.0</v>
      </c>
      <c r="L39" s="21">
        <v>0.0</v>
      </c>
      <c r="M39" s="21">
        <v>0.0</v>
      </c>
      <c r="N39" s="21">
        <v>0.0</v>
      </c>
      <c r="O39" s="21">
        <v>0.0</v>
      </c>
      <c r="P39" s="9">
        <v>1.0</v>
      </c>
      <c r="Q39" s="9">
        <v>1.0</v>
      </c>
      <c r="R39" s="22">
        <v>1.0</v>
      </c>
      <c r="S39" s="22">
        <v>1.0</v>
      </c>
      <c r="T39" s="26">
        <v>1.0</v>
      </c>
      <c r="U39" s="16"/>
      <c r="V39" s="27">
        <v>0.0</v>
      </c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8">
        <f t="shared" si="1"/>
        <v>11</v>
      </c>
      <c r="BE39" s="23">
        <f t="shared" si="2"/>
        <v>84.61538462</v>
      </c>
    </row>
    <row r="40">
      <c r="A40" s="9">
        <v>34.0</v>
      </c>
      <c r="B40" s="29">
        <v>2.02401100300108E14</v>
      </c>
      <c r="C40" s="30" t="s">
        <v>49</v>
      </c>
      <c r="D40" s="9">
        <v>1.0</v>
      </c>
      <c r="E40" s="18">
        <v>1.0</v>
      </c>
      <c r="F40" s="9">
        <v>1.0</v>
      </c>
      <c r="G40" s="9">
        <v>1.0</v>
      </c>
      <c r="H40" s="21">
        <v>0.0</v>
      </c>
      <c r="I40" s="21">
        <v>0.0</v>
      </c>
      <c r="J40" s="21">
        <v>0.0</v>
      </c>
      <c r="K40" s="21">
        <v>0.0</v>
      </c>
      <c r="L40" s="21">
        <v>0.0</v>
      </c>
      <c r="M40" s="21">
        <v>0.0</v>
      </c>
      <c r="N40" s="9">
        <v>1.0</v>
      </c>
      <c r="O40" s="9">
        <v>1.0</v>
      </c>
      <c r="P40" s="9">
        <v>1.0</v>
      </c>
      <c r="Q40" s="9">
        <v>1.0</v>
      </c>
      <c r="R40" s="22">
        <v>1.0</v>
      </c>
      <c r="S40" s="22">
        <v>1.0</v>
      </c>
      <c r="T40" s="26">
        <v>1.0</v>
      </c>
      <c r="U40" s="27">
        <v>0.0</v>
      </c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8">
        <f t="shared" si="1"/>
        <v>11</v>
      </c>
      <c r="BE40" s="23">
        <f t="shared" si="2"/>
        <v>100</v>
      </c>
    </row>
    <row r="41">
      <c r="A41" s="9">
        <v>35.0</v>
      </c>
      <c r="B41" s="29">
        <v>2.02401100300109E14</v>
      </c>
      <c r="C41" s="30" t="s">
        <v>50</v>
      </c>
      <c r="D41" s="9">
        <v>1.0</v>
      </c>
      <c r="E41" s="18">
        <v>1.0</v>
      </c>
      <c r="F41" s="9">
        <v>1.0</v>
      </c>
      <c r="G41" s="9">
        <v>1.0</v>
      </c>
      <c r="H41" s="9">
        <v>1.0</v>
      </c>
      <c r="I41" s="9">
        <v>1.0</v>
      </c>
      <c r="J41" s="9">
        <v>1.0</v>
      </c>
      <c r="K41" s="9">
        <v>1.0</v>
      </c>
      <c r="L41" s="9">
        <v>1.0</v>
      </c>
      <c r="M41" s="9">
        <v>1.0</v>
      </c>
      <c r="N41" s="9">
        <v>1.0</v>
      </c>
      <c r="O41" s="9">
        <v>1.0</v>
      </c>
      <c r="P41" s="9">
        <v>1.0</v>
      </c>
      <c r="Q41" s="9">
        <v>1.0</v>
      </c>
      <c r="R41" s="22">
        <v>1.0</v>
      </c>
      <c r="S41" s="22">
        <v>1.0</v>
      </c>
      <c r="T41" s="27">
        <v>0.0</v>
      </c>
      <c r="U41" s="16"/>
      <c r="V41" s="26">
        <v>1.0</v>
      </c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8">
        <f t="shared" si="1"/>
        <v>17</v>
      </c>
      <c r="BE41" s="23">
        <f t="shared" si="2"/>
        <v>154.5454545</v>
      </c>
    </row>
    <row r="42">
      <c r="A42" s="9">
        <v>36.0</v>
      </c>
      <c r="B42" s="29">
        <v>2.0240110030011E14</v>
      </c>
      <c r="C42" s="30" t="s">
        <v>51</v>
      </c>
      <c r="D42" s="9">
        <v>1.0</v>
      </c>
      <c r="E42" s="18">
        <v>1.0</v>
      </c>
      <c r="F42" s="9">
        <v>1.0</v>
      </c>
      <c r="G42" s="9">
        <v>1.0</v>
      </c>
      <c r="H42" s="21">
        <v>0.0</v>
      </c>
      <c r="I42" s="21">
        <v>0.0</v>
      </c>
      <c r="J42" s="21">
        <v>0.0</v>
      </c>
      <c r="K42" s="21">
        <v>0.0</v>
      </c>
      <c r="L42" s="9">
        <v>1.0</v>
      </c>
      <c r="M42" s="9">
        <v>1.0</v>
      </c>
      <c r="N42" s="9">
        <v>1.0</v>
      </c>
      <c r="O42" s="9">
        <v>1.0</v>
      </c>
      <c r="P42" s="9">
        <v>1.0</v>
      </c>
      <c r="Q42" s="9">
        <v>1.0</v>
      </c>
      <c r="R42" s="22">
        <v>1.0</v>
      </c>
      <c r="S42" s="22">
        <v>1.0</v>
      </c>
      <c r="T42" s="26">
        <v>1.0</v>
      </c>
      <c r="U42" s="16"/>
      <c r="V42" s="27">
        <v>0.0</v>
      </c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8">
        <f t="shared" si="1"/>
        <v>13</v>
      </c>
      <c r="BE42" s="23">
        <f t="shared" si="2"/>
        <v>76.47058824</v>
      </c>
    </row>
    <row r="43">
      <c r="A43" s="9">
        <v>37.0</v>
      </c>
      <c r="B43" s="31">
        <v>2.02401100300111E14</v>
      </c>
      <c r="C43" s="32" t="s">
        <v>52</v>
      </c>
      <c r="D43" s="9">
        <v>1.0</v>
      </c>
      <c r="E43" s="18">
        <v>1.0</v>
      </c>
      <c r="F43" s="9">
        <v>1.0</v>
      </c>
      <c r="G43" s="9">
        <v>1.0</v>
      </c>
      <c r="H43" s="9">
        <v>1.0</v>
      </c>
      <c r="I43" s="9">
        <v>1.0</v>
      </c>
      <c r="J43" s="9">
        <v>1.0</v>
      </c>
      <c r="K43" s="9">
        <v>1.0</v>
      </c>
      <c r="L43" s="9">
        <v>1.0</v>
      </c>
      <c r="M43" s="9">
        <v>1.0</v>
      </c>
      <c r="N43" s="9">
        <v>1.0</v>
      </c>
      <c r="O43" s="9">
        <v>1.0</v>
      </c>
      <c r="P43" s="9">
        <v>1.0</v>
      </c>
      <c r="Q43" s="9">
        <v>1.0</v>
      </c>
      <c r="R43" s="22">
        <v>1.0</v>
      </c>
      <c r="S43" s="22">
        <v>1.0</v>
      </c>
      <c r="T43" s="26">
        <v>1.0</v>
      </c>
      <c r="U43" s="27">
        <v>0.0</v>
      </c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8">
        <f t="shared" si="1"/>
        <v>17</v>
      </c>
      <c r="BE43" s="23">
        <f t="shared" si="2"/>
        <v>130.7692308</v>
      </c>
    </row>
    <row r="44">
      <c r="A44" s="9">
        <v>38.0</v>
      </c>
      <c r="B44" s="31">
        <v>2.02401100300112E14</v>
      </c>
      <c r="C44" s="32" t="s">
        <v>53</v>
      </c>
      <c r="D44" s="9">
        <v>1.0</v>
      </c>
      <c r="E44" s="18">
        <v>1.0</v>
      </c>
      <c r="F44" s="9">
        <v>1.0</v>
      </c>
      <c r="G44" s="9">
        <v>1.0</v>
      </c>
      <c r="H44" s="9">
        <v>1.0</v>
      </c>
      <c r="I44" s="9">
        <v>1.0</v>
      </c>
      <c r="J44" s="9">
        <v>1.0</v>
      </c>
      <c r="K44" s="9">
        <v>1.0</v>
      </c>
      <c r="L44" s="9">
        <v>1.0</v>
      </c>
      <c r="M44" s="9">
        <v>1.0</v>
      </c>
      <c r="N44" s="9">
        <v>1.0</v>
      </c>
      <c r="O44" s="9">
        <v>1.0</v>
      </c>
      <c r="P44" s="9">
        <v>1.0</v>
      </c>
      <c r="Q44" s="9">
        <v>1.0</v>
      </c>
      <c r="R44" s="22">
        <v>1.0</v>
      </c>
      <c r="S44" s="22">
        <v>1.0</v>
      </c>
      <c r="T44" s="26">
        <v>1.0</v>
      </c>
      <c r="U44" s="27">
        <v>0.0</v>
      </c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8">
        <f t="shared" si="1"/>
        <v>17</v>
      </c>
      <c r="BE44" s="23">
        <f t="shared" si="2"/>
        <v>100</v>
      </c>
    </row>
    <row r="45">
      <c r="A45" s="9">
        <v>39.0</v>
      </c>
      <c r="B45" s="31">
        <v>2.02401100300113E14</v>
      </c>
      <c r="C45" s="32" t="s">
        <v>54</v>
      </c>
      <c r="D45" s="9">
        <v>1.0</v>
      </c>
      <c r="E45" s="18">
        <v>1.0</v>
      </c>
      <c r="F45" s="9">
        <v>1.0</v>
      </c>
      <c r="G45" s="9">
        <v>1.0</v>
      </c>
      <c r="H45" s="9">
        <v>1.0</v>
      </c>
      <c r="I45" s="9">
        <v>1.0</v>
      </c>
      <c r="J45" s="9">
        <v>1.0</v>
      </c>
      <c r="K45" s="9">
        <v>1.0</v>
      </c>
      <c r="L45" s="9">
        <v>1.0</v>
      </c>
      <c r="M45" s="9">
        <v>1.0</v>
      </c>
      <c r="N45" s="9">
        <v>1.0</v>
      </c>
      <c r="O45" s="9">
        <v>1.0</v>
      </c>
      <c r="P45" s="9">
        <v>1.0</v>
      </c>
      <c r="Q45" s="9">
        <v>1.0</v>
      </c>
      <c r="R45" s="22">
        <v>1.0</v>
      </c>
      <c r="S45" s="22">
        <v>1.0</v>
      </c>
      <c r="T45" s="26">
        <v>1.0</v>
      </c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8">
        <f t="shared" si="1"/>
        <v>17</v>
      </c>
      <c r="BE45" s="23">
        <f t="shared" si="2"/>
        <v>100</v>
      </c>
    </row>
    <row r="46">
      <c r="A46" s="9">
        <v>40.0</v>
      </c>
      <c r="B46" s="31">
        <v>2.02401100300114E14</v>
      </c>
      <c r="C46" s="32" t="s">
        <v>55</v>
      </c>
      <c r="D46" s="9">
        <v>1.0</v>
      </c>
      <c r="E46" s="18">
        <v>1.0</v>
      </c>
      <c r="F46" s="9">
        <v>1.0</v>
      </c>
      <c r="G46" s="9">
        <v>1.0</v>
      </c>
      <c r="H46" s="9">
        <v>1.0</v>
      </c>
      <c r="I46" s="9">
        <v>1.0</v>
      </c>
      <c r="J46" s="21">
        <v>0.0</v>
      </c>
      <c r="K46" s="21">
        <v>0.0</v>
      </c>
      <c r="L46" s="9">
        <v>1.0</v>
      </c>
      <c r="M46" s="9">
        <v>1.0</v>
      </c>
      <c r="N46" s="9">
        <v>1.0</v>
      </c>
      <c r="O46" s="9">
        <v>1.0</v>
      </c>
      <c r="P46" s="9">
        <v>1.0</v>
      </c>
      <c r="Q46" s="9">
        <v>1.0</v>
      </c>
      <c r="R46" s="22">
        <v>1.0</v>
      </c>
      <c r="S46" s="22">
        <v>1.0</v>
      </c>
      <c r="T46" s="26">
        <v>1.0</v>
      </c>
      <c r="U46" s="27">
        <v>0.0</v>
      </c>
      <c r="V46" s="27">
        <v>0.0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8">
        <f t="shared" si="1"/>
        <v>15</v>
      </c>
      <c r="BE46" s="23">
        <f t="shared" si="2"/>
        <v>88.23529412</v>
      </c>
    </row>
    <row r="47">
      <c r="A47" s="9">
        <v>41.0</v>
      </c>
      <c r="B47" s="31">
        <v>2.02401100300115E14</v>
      </c>
      <c r="C47" s="32" t="s">
        <v>56</v>
      </c>
      <c r="D47" s="9">
        <v>1.0</v>
      </c>
      <c r="E47" s="18">
        <v>1.0</v>
      </c>
      <c r="F47" s="9">
        <v>1.0</v>
      </c>
      <c r="G47" s="9">
        <v>1.0</v>
      </c>
      <c r="H47" s="9">
        <v>1.0</v>
      </c>
      <c r="I47" s="9">
        <v>1.0</v>
      </c>
      <c r="J47" s="9">
        <v>1.0</v>
      </c>
      <c r="K47" s="9">
        <v>1.0</v>
      </c>
      <c r="L47" s="21">
        <v>0.0</v>
      </c>
      <c r="M47" s="21">
        <v>0.0</v>
      </c>
      <c r="N47" s="9">
        <v>1.0</v>
      </c>
      <c r="O47" s="9">
        <v>1.0</v>
      </c>
      <c r="P47" s="9">
        <v>1.0</v>
      </c>
      <c r="Q47" s="9">
        <v>1.0</v>
      </c>
      <c r="R47" s="22">
        <v>1.0</v>
      </c>
      <c r="S47" s="22">
        <v>1.0</v>
      </c>
      <c r="T47" s="26">
        <v>1.0</v>
      </c>
      <c r="U47" s="16"/>
      <c r="V47" s="27">
        <v>0.0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8">
        <f t="shared" si="1"/>
        <v>15</v>
      </c>
      <c r="BE47" s="23">
        <f t="shared" si="2"/>
        <v>100</v>
      </c>
    </row>
    <row r="48">
      <c r="A48" s="9">
        <v>42.0</v>
      </c>
      <c r="B48" s="31">
        <v>2.02401100300116E14</v>
      </c>
      <c r="C48" s="32" t="s">
        <v>57</v>
      </c>
      <c r="D48" s="9">
        <v>1.0</v>
      </c>
      <c r="E48" s="18">
        <v>1.0</v>
      </c>
      <c r="F48" s="21">
        <v>0.0</v>
      </c>
      <c r="G48" s="21">
        <v>0.0</v>
      </c>
      <c r="H48" s="9">
        <v>1.0</v>
      </c>
      <c r="I48" s="9">
        <v>1.0</v>
      </c>
      <c r="J48" s="9">
        <v>1.0</v>
      </c>
      <c r="K48" s="9">
        <v>1.0</v>
      </c>
      <c r="L48" s="9">
        <v>1.0</v>
      </c>
      <c r="M48" s="9">
        <v>1.0</v>
      </c>
      <c r="N48" s="9">
        <v>1.0</v>
      </c>
      <c r="O48" s="9">
        <v>1.0</v>
      </c>
      <c r="P48" s="9">
        <v>1.0</v>
      </c>
      <c r="Q48" s="9">
        <v>1.0</v>
      </c>
      <c r="R48" s="22">
        <v>1.0</v>
      </c>
      <c r="S48" s="22">
        <v>1.0</v>
      </c>
      <c r="T48" s="26">
        <v>1.0</v>
      </c>
      <c r="U48" s="16"/>
      <c r="V48" s="27">
        <v>0.0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8">
        <f t="shared" si="1"/>
        <v>15</v>
      </c>
      <c r="BE48" s="23">
        <f t="shared" si="2"/>
        <v>100</v>
      </c>
    </row>
    <row r="49">
      <c r="A49" s="9">
        <v>43.0</v>
      </c>
      <c r="B49" s="31">
        <v>2.02401100300117E14</v>
      </c>
      <c r="C49" s="32" t="s">
        <v>58</v>
      </c>
      <c r="D49" s="9">
        <v>1.0</v>
      </c>
      <c r="E49" s="18">
        <v>1.0</v>
      </c>
      <c r="F49" s="9">
        <v>1.0</v>
      </c>
      <c r="G49" s="9">
        <v>1.0</v>
      </c>
      <c r="H49" s="9">
        <v>1.0</v>
      </c>
      <c r="I49" s="9">
        <v>1.0</v>
      </c>
      <c r="J49" s="9">
        <v>1.0</v>
      </c>
      <c r="K49" s="9">
        <v>1.0</v>
      </c>
      <c r="L49" s="9">
        <v>1.0</v>
      </c>
      <c r="M49" s="9">
        <v>1.0</v>
      </c>
      <c r="N49" s="9">
        <v>1.0</v>
      </c>
      <c r="O49" s="9">
        <v>1.0</v>
      </c>
      <c r="P49" s="9">
        <v>1.0</v>
      </c>
      <c r="Q49" s="9">
        <v>1.0</v>
      </c>
      <c r="R49" s="22">
        <v>1.0</v>
      </c>
      <c r="S49" s="22">
        <v>1.0</v>
      </c>
      <c r="T49" s="26">
        <v>1.0</v>
      </c>
      <c r="U49" s="16"/>
      <c r="V49" s="27">
        <v>0.0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8">
        <f t="shared" si="1"/>
        <v>17</v>
      </c>
      <c r="BE49" s="23">
        <f t="shared" si="2"/>
        <v>113.3333333</v>
      </c>
    </row>
    <row r="50">
      <c r="A50" s="9">
        <v>44.0</v>
      </c>
      <c r="B50" s="31">
        <v>2.02401100300118E14</v>
      </c>
      <c r="C50" s="32" t="s">
        <v>59</v>
      </c>
      <c r="D50" s="9">
        <v>1.0</v>
      </c>
      <c r="E50" s="18">
        <v>1.0</v>
      </c>
      <c r="F50" s="9">
        <v>1.0</v>
      </c>
      <c r="G50" s="9">
        <v>1.0</v>
      </c>
      <c r="H50" s="9">
        <v>1.0</v>
      </c>
      <c r="I50" s="9">
        <v>1.0</v>
      </c>
      <c r="J50" s="9">
        <v>1.0</v>
      </c>
      <c r="K50" s="9">
        <v>1.0</v>
      </c>
      <c r="L50" s="9">
        <v>1.0</v>
      </c>
      <c r="M50" s="9">
        <v>1.0</v>
      </c>
      <c r="N50" s="9">
        <v>1.0</v>
      </c>
      <c r="O50" s="9">
        <v>1.0</v>
      </c>
      <c r="P50" s="9">
        <v>1.0</v>
      </c>
      <c r="Q50" s="9">
        <v>1.0</v>
      </c>
      <c r="R50" s="22">
        <v>0.0</v>
      </c>
      <c r="S50" s="22">
        <v>0.0</v>
      </c>
      <c r="T50" s="26">
        <v>1.0</v>
      </c>
      <c r="U50" s="27">
        <v>0.0</v>
      </c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8">
        <f t="shared" si="1"/>
        <v>15</v>
      </c>
      <c r="BE50" s="23">
        <f t="shared" si="2"/>
        <v>88.23529412</v>
      </c>
    </row>
    <row r="51">
      <c r="A51" s="9">
        <v>45.0</v>
      </c>
      <c r="B51" s="31">
        <v>2.02401100300119E14</v>
      </c>
      <c r="C51" s="32" t="s">
        <v>60</v>
      </c>
      <c r="D51" s="9">
        <v>1.0</v>
      </c>
      <c r="E51" s="18">
        <v>1.0</v>
      </c>
      <c r="F51" s="9">
        <v>1.0</v>
      </c>
      <c r="G51" s="9">
        <v>1.0</v>
      </c>
      <c r="H51" s="9">
        <v>1.0</v>
      </c>
      <c r="I51" s="9">
        <v>1.0</v>
      </c>
      <c r="J51" s="9">
        <v>1.0</v>
      </c>
      <c r="K51" s="9">
        <v>1.0</v>
      </c>
      <c r="L51" s="9">
        <v>1.0</v>
      </c>
      <c r="M51" s="9">
        <v>1.0</v>
      </c>
      <c r="N51" s="9">
        <v>1.0</v>
      </c>
      <c r="O51" s="9">
        <v>1.0</v>
      </c>
      <c r="P51" s="9">
        <v>1.0</v>
      </c>
      <c r="Q51" s="9">
        <v>1.0</v>
      </c>
      <c r="R51" s="22">
        <v>1.0</v>
      </c>
      <c r="S51" s="22">
        <v>1.0</v>
      </c>
      <c r="T51" s="26">
        <v>1.0</v>
      </c>
      <c r="U51" s="16"/>
      <c r="V51" s="27">
        <v>0.0</v>
      </c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8">
        <f t="shared" si="1"/>
        <v>17</v>
      </c>
      <c r="BE51" s="23">
        <f t="shared" si="2"/>
        <v>113.3333333</v>
      </c>
    </row>
    <row r="52">
      <c r="A52" s="9">
        <v>46.0</v>
      </c>
      <c r="B52" s="31">
        <v>2.0240110030012E14</v>
      </c>
      <c r="C52" s="32" t="s">
        <v>61</v>
      </c>
      <c r="D52" s="9">
        <v>1.0</v>
      </c>
      <c r="E52" s="18">
        <v>1.0</v>
      </c>
      <c r="F52" s="9">
        <v>1.0</v>
      </c>
      <c r="G52" s="9">
        <v>1.0</v>
      </c>
      <c r="H52" s="9">
        <v>1.0</v>
      </c>
      <c r="I52" s="9">
        <v>1.0</v>
      </c>
      <c r="J52" s="9">
        <v>1.0</v>
      </c>
      <c r="K52" s="9">
        <v>1.0</v>
      </c>
      <c r="L52" s="9">
        <v>1.0</v>
      </c>
      <c r="M52" s="9">
        <v>1.0</v>
      </c>
      <c r="N52" s="9">
        <v>1.0</v>
      </c>
      <c r="O52" s="9">
        <v>1.0</v>
      </c>
      <c r="P52" s="9">
        <v>1.0</v>
      </c>
      <c r="Q52" s="9">
        <v>1.0</v>
      </c>
      <c r="R52" s="22">
        <v>1.0</v>
      </c>
      <c r="S52" s="22">
        <v>1.0</v>
      </c>
      <c r="T52" s="27">
        <v>0.0</v>
      </c>
      <c r="U52" s="27">
        <v>0.0</v>
      </c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8">
        <f t="shared" si="1"/>
        <v>16</v>
      </c>
      <c r="BE52" s="23">
        <f t="shared" si="2"/>
        <v>94.11764706</v>
      </c>
    </row>
    <row r="53">
      <c r="A53" s="9">
        <v>47.0</v>
      </c>
      <c r="B53" s="31">
        <v>2.02401100300121E14</v>
      </c>
      <c r="C53" s="32" t="s">
        <v>62</v>
      </c>
      <c r="D53" s="9">
        <v>1.0</v>
      </c>
      <c r="E53" s="18">
        <v>1.0</v>
      </c>
      <c r="F53" s="9">
        <v>1.0</v>
      </c>
      <c r="G53" s="9">
        <v>1.0</v>
      </c>
      <c r="H53" s="9">
        <v>1.0</v>
      </c>
      <c r="I53" s="9">
        <v>1.0</v>
      </c>
      <c r="J53" s="9">
        <v>1.0</v>
      </c>
      <c r="K53" s="9">
        <v>1.0</v>
      </c>
      <c r="L53" s="9">
        <v>1.0</v>
      </c>
      <c r="M53" s="9">
        <v>1.0</v>
      </c>
      <c r="N53" s="9">
        <v>1.0</v>
      </c>
      <c r="O53" s="9">
        <v>1.0</v>
      </c>
      <c r="P53" s="9">
        <v>1.0</v>
      </c>
      <c r="Q53" s="9">
        <v>1.0</v>
      </c>
      <c r="R53" s="22">
        <v>1.0</v>
      </c>
      <c r="S53" s="22">
        <v>1.0</v>
      </c>
      <c r="T53" s="26">
        <v>1.0</v>
      </c>
      <c r="U53" s="27">
        <v>0.0</v>
      </c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8">
        <f t="shared" si="1"/>
        <v>17</v>
      </c>
      <c r="BE53" s="23">
        <f t="shared" si="2"/>
        <v>106.25</v>
      </c>
    </row>
    <row r="54">
      <c r="A54" s="9">
        <v>48.0</v>
      </c>
      <c r="B54" s="31">
        <v>2.02401100300122E14</v>
      </c>
      <c r="C54" s="32" t="s">
        <v>63</v>
      </c>
      <c r="D54" s="9">
        <v>1.0</v>
      </c>
      <c r="E54" s="18">
        <v>1.0</v>
      </c>
      <c r="F54" s="9">
        <v>1.0</v>
      </c>
      <c r="G54" s="9">
        <v>1.0</v>
      </c>
      <c r="H54" s="9">
        <v>1.0</v>
      </c>
      <c r="I54" s="9">
        <v>1.0</v>
      </c>
      <c r="J54" s="9">
        <v>1.0</v>
      </c>
      <c r="K54" s="9">
        <v>1.0</v>
      </c>
      <c r="L54" s="9">
        <v>1.0</v>
      </c>
      <c r="M54" s="9">
        <v>1.0</v>
      </c>
      <c r="N54" s="9">
        <v>1.0</v>
      </c>
      <c r="O54" s="9">
        <v>1.0</v>
      </c>
      <c r="P54" s="9">
        <v>1.0</v>
      </c>
      <c r="Q54" s="9">
        <v>1.0</v>
      </c>
      <c r="R54" s="22">
        <v>1.0</v>
      </c>
      <c r="S54" s="22">
        <v>1.0</v>
      </c>
      <c r="T54" s="26">
        <v>1.0</v>
      </c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8">
        <f t="shared" si="1"/>
        <v>17</v>
      </c>
      <c r="BE54" s="23">
        <f t="shared" si="2"/>
        <v>100</v>
      </c>
    </row>
    <row r="55">
      <c r="A55" s="9">
        <v>49.0</v>
      </c>
      <c r="B55" s="31">
        <v>2.02401100300123E14</v>
      </c>
      <c r="C55" s="32" t="s">
        <v>64</v>
      </c>
      <c r="D55" s="21">
        <v>0.0</v>
      </c>
      <c r="E55" s="28">
        <v>0.0</v>
      </c>
      <c r="F55" s="21">
        <v>0.0</v>
      </c>
      <c r="G55" s="21">
        <v>0.0</v>
      </c>
      <c r="H55" s="9">
        <v>1.0</v>
      </c>
      <c r="I55" s="9">
        <v>1.0</v>
      </c>
      <c r="J55" s="9">
        <v>1.0</v>
      </c>
      <c r="K55" s="9">
        <v>1.0</v>
      </c>
      <c r="L55" s="21">
        <v>0.0</v>
      </c>
      <c r="M55" s="21">
        <v>0.0</v>
      </c>
      <c r="N55" s="9">
        <v>1.0</v>
      </c>
      <c r="O55" s="9">
        <v>1.0</v>
      </c>
      <c r="P55" s="21">
        <v>0.0</v>
      </c>
      <c r="Q55" s="21">
        <v>0.0</v>
      </c>
      <c r="R55" s="22">
        <v>1.0</v>
      </c>
      <c r="S55" s="22">
        <v>1.0</v>
      </c>
      <c r="T55" s="26">
        <v>1.0</v>
      </c>
      <c r="U55" s="16"/>
      <c r="V55" s="27">
        <v>0.0</v>
      </c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8">
        <f t="shared" si="1"/>
        <v>9</v>
      </c>
      <c r="BE55" s="23">
        <f t="shared" si="2"/>
        <v>52.94117647</v>
      </c>
    </row>
    <row r="56">
      <c r="A56" s="9">
        <v>50.0</v>
      </c>
      <c r="B56" s="31">
        <v>2.02401100300124E14</v>
      </c>
      <c r="C56" s="32" t="s">
        <v>65</v>
      </c>
      <c r="D56" s="21">
        <v>0.0</v>
      </c>
      <c r="E56" s="28">
        <v>0.0</v>
      </c>
      <c r="F56" s="9">
        <v>1.0</v>
      </c>
      <c r="G56" s="9">
        <v>1.0</v>
      </c>
      <c r="H56" s="9">
        <v>1.0</v>
      </c>
      <c r="I56" s="9">
        <v>1.0</v>
      </c>
      <c r="J56" s="9">
        <v>1.0</v>
      </c>
      <c r="K56" s="9">
        <v>1.0</v>
      </c>
      <c r="L56" s="21">
        <v>0.0</v>
      </c>
      <c r="M56" s="21">
        <v>0.0</v>
      </c>
      <c r="N56" s="9">
        <v>1.0</v>
      </c>
      <c r="O56" s="9">
        <v>1.0</v>
      </c>
      <c r="P56" s="9">
        <v>1.0</v>
      </c>
      <c r="Q56" s="9">
        <v>1.0</v>
      </c>
      <c r="R56" s="22">
        <v>1.0</v>
      </c>
      <c r="S56" s="22">
        <v>1.0</v>
      </c>
      <c r="T56" s="26">
        <v>1.0</v>
      </c>
      <c r="U56" s="16"/>
      <c r="V56" s="27">
        <v>0.0</v>
      </c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8">
        <f t="shared" si="1"/>
        <v>13</v>
      </c>
      <c r="BE56" s="23">
        <f t="shared" si="2"/>
        <v>144.4444444</v>
      </c>
    </row>
    <row r="57">
      <c r="A57" s="9">
        <v>51.0</v>
      </c>
      <c r="B57" s="31">
        <v>2.02401100300125E14</v>
      </c>
      <c r="C57" s="32" t="s">
        <v>66</v>
      </c>
      <c r="D57" s="9">
        <v>1.0</v>
      </c>
      <c r="E57" s="18">
        <v>1.0</v>
      </c>
      <c r="F57" s="9">
        <v>1.0</v>
      </c>
      <c r="G57" s="9">
        <v>1.0</v>
      </c>
      <c r="H57" s="9">
        <v>1.0</v>
      </c>
      <c r="I57" s="9">
        <v>1.0</v>
      </c>
      <c r="J57" s="9">
        <v>1.0</v>
      </c>
      <c r="K57" s="9">
        <v>1.0</v>
      </c>
      <c r="L57" s="9">
        <v>1.0</v>
      </c>
      <c r="M57" s="9">
        <v>1.0</v>
      </c>
      <c r="N57" s="9">
        <v>1.0</v>
      </c>
      <c r="O57" s="9">
        <v>1.0</v>
      </c>
      <c r="P57" s="9">
        <v>1.0</v>
      </c>
      <c r="Q57" s="9">
        <v>1.0</v>
      </c>
      <c r="R57" s="22">
        <v>1.0</v>
      </c>
      <c r="S57" s="22">
        <v>1.0</v>
      </c>
      <c r="T57" s="26">
        <v>1.0</v>
      </c>
      <c r="U57" s="16"/>
      <c r="V57" s="27">
        <v>0.0</v>
      </c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8">
        <f t="shared" si="1"/>
        <v>17</v>
      </c>
      <c r="BE57" s="23">
        <f t="shared" si="2"/>
        <v>130.7692308</v>
      </c>
    </row>
    <row r="58">
      <c r="A58" s="9">
        <v>52.0</v>
      </c>
      <c r="B58" s="31">
        <v>2.02401100300126E14</v>
      </c>
      <c r="C58" s="32" t="s">
        <v>67</v>
      </c>
      <c r="D58" s="9">
        <v>1.0</v>
      </c>
      <c r="E58" s="18">
        <v>1.0</v>
      </c>
      <c r="F58" s="9">
        <v>1.0</v>
      </c>
      <c r="G58" s="9">
        <v>1.0</v>
      </c>
      <c r="H58" s="9">
        <v>1.0</v>
      </c>
      <c r="I58" s="9">
        <v>1.0</v>
      </c>
      <c r="J58" s="9">
        <v>1.0</v>
      </c>
      <c r="K58" s="9">
        <v>1.0</v>
      </c>
      <c r="L58" s="21">
        <v>0.0</v>
      </c>
      <c r="M58" s="21">
        <v>0.0</v>
      </c>
      <c r="N58" s="21">
        <v>0.0</v>
      </c>
      <c r="O58" s="21">
        <v>0.0</v>
      </c>
      <c r="P58" s="9">
        <v>1.0</v>
      </c>
      <c r="Q58" s="9">
        <v>1.0</v>
      </c>
      <c r="R58" s="22">
        <v>1.0</v>
      </c>
      <c r="S58" s="22">
        <v>1.0</v>
      </c>
      <c r="T58" s="26">
        <v>1.0</v>
      </c>
      <c r="U58" s="27">
        <v>0.0</v>
      </c>
      <c r="V58" s="27">
        <v>0.0</v>
      </c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8">
        <f t="shared" si="1"/>
        <v>13</v>
      </c>
      <c r="BE58" s="23">
        <f t="shared" si="2"/>
        <v>76.47058824</v>
      </c>
    </row>
    <row r="59">
      <c r="A59" s="9">
        <v>53.0</v>
      </c>
      <c r="B59" s="31">
        <v>2.02401100300127E14</v>
      </c>
      <c r="C59" s="32" t="s">
        <v>68</v>
      </c>
      <c r="D59" s="21">
        <v>0.0</v>
      </c>
      <c r="E59" s="28">
        <v>0.0</v>
      </c>
      <c r="F59" s="9">
        <v>1.0</v>
      </c>
      <c r="G59" s="9">
        <v>1.0</v>
      </c>
      <c r="H59" s="9">
        <v>1.0</v>
      </c>
      <c r="I59" s="9">
        <v>1.0</v>
      </c>
      <c r="J59" s="9">
        <v>1.0</v>
      </c>
      <c r="K59" s="9">
        <v>1.0</v>
      </c>
      <c r="L59" s="21">
        <v>0.0</v>
      </c>
      <c r="M59" s="21">
        <v>0.0</v>
      </c>
      <c r="N59" s="21">
        <v>0.0</v>
      </c>
      <c r="O59" s="21">
        <v>0.0</v>
      </c>
      <c r="P59" s="21">
        <v>0.0</v>
      </c>
      <c r="Q59" s="21">
        <v>0.0</v>
      </c>
      <c r="R59" s="22">
        <v>1.0</v>
      </c>
      <c r="S59" s="22">
        <v>1.0</v>
      </c>
      <c r="T59" s="26">
        <v>1.0</v>
      </c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8">
        <f t="shared" si="1"/>
        <v>9</v>
      </c>
      <c r="BE59" s="23">
        <f t="shared" si="2"/>
        <v>69.23076923</v>
      </c>
    </row>
    <row r="60">
      <c r="A60" s="9">
        <v>54.0</v>
      </c>
      <c r="B60" s="31">
        <v>2.02401100300128E14</v>
      </c>
      <c r="C60" s="32" t="s">
        <v>69</v>
      </c>
      <c r="D60" s="9">
        <v>1.0</v>
      </c>
      <c r="E60" s="18">
        <v>1.0</v>
      </c>
      <c r="F60" s="9">
        <v>1.0</v>
      </c>
      <c r="G60" s="9">
        <v>1.0</v>
      </c>
      <c r="H60" s="9">
        <v>1.0</v>
      </c>
      <c r="I60" s="9">
        <v>1.0</v>
      </c>
      <c r="J60" s="9">
        <v>1.0</v>
      </c>
      <c r="K60" s="9">
        <v>1.0</v>
      </c>
      <c r="L60" s="21">
        <v>0.0</v>
      </c>
      <c r="M60" s="21">
        <v>0.0</v>
      </c>
      <c r="N60" s="21">
        <v>0.0</v>
      </c>
      <c r="O60" s="21">
        <v>0.0</v>
      </c>
      <c r="P60" s="9">
        <v>1.0</v>
      </c>
      <c r="Q60" s="9">
        <v>1.0</v>
      </c>
      <c r="R60" s="22">
        <v>1.0</v>
      </c>
      <c r="S60" s="22">
        <v>1.0</v>
      </c>
      <c r="T60" s="26">
        <v>1.0</v>
      </c>
      <c r="U60" s="27">
        <v>0.0</v>
      </c>
      <c r="V60" s="27">
        <v>0.0</v>
      </c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8">
        <f t="shared" si="1"/>
        <v>13</v>
      </c>
      <c r="BE60" s="23">
        <f t="shared" si="2"/>
        <v>144.4444444</v>
      </c>
    </row>
    <row r="61">
      <c r="A61" s="9">
        <v>55.0</v>
      </c>
      <c r="B61" s="24">
        <v>2.02401100300129E14</v>
      </c>
      <c r="C61" s="25" t="s">
        <v>70</v>
      </c>
      <c r="D61" s="9">
        <v>1.0</v>
      </c>
      <c r="E61" s="18">
        <v>1.0</v>
      </c>
      <c r="F61" s="9">
        <v>1.0</v>
      </c>
      <c r="G61" s="9">
        <v>1.0</v>
      </c>
      <c r="H61" s="9">
        <v>1.0</v>
      </c>
      <c r="I61" s="9">
        <v>1.0</v>
      </c>
      <c r="J61" s="9">
        <v>1.0</v>
      </c>
      <c r="K61" s="9">
        <v>1.0</v>
      </c>
      <c r="L61" s="9">
        <v>1.0</v>
      </c>
      <c r="M61" s="9">
        <v>1.0</v>
      </c>
      <c r="N61" s="9">
        <v>1.0</v>
      </c>
      <c r="O61" s="9">
        <v>1.0</v>
      </c>
      <c r="P61" s="21">
        <v>0.0</v>
      </c>
      <c r="Q61" s="21">
        <v>0.0</v>
      </c>
      <c r="R61" s="22">
        <v>1.0</v>
      </c>
      <c r="S61" s="22">
        <v>1.0</v>
      </c>
      <c r="T61" s="26">
        <v>1.0</v>
      </c>
      <c r="U61" s="16"/>
      <c r="V61" s="27">
        <v>0.0</v>
      </c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8">
        <f t="shared" si="1"/>
        <v>15</v>
      </c>
      <c r="BE61" s="23">
        <f t="shared" si="2"/>
        <v>115.3846154</v>
      </c>
    </row>
    <row r="62">
      <c r="A62" s="9">
        <v>56.0</v>
      </c>
      <c r="B62" s="24">
        <v>2.0240110030013E14</v>
      </c>
      <c r="C62" s="25" t="s">
        <v>71</v>
      </c>
      <c r="D62" s="9">
        <v>1.0</v>
      </c>
      <c r="E62" s="18">
        <v>1.0</v>
      </c>
      <c r="F62" s="9">
        <v>1.0</v>
      </c>
      <c r="G62" s="9">
        <v>1.0</v>
      </c>
      <c r="H62" s="9">
        <v>1.0</v>
      </c>
      <c r="I62" s="9">
        <v>1.0</v>
      </c>
      <c r="J62" s="9">
        <v>1.0</v>
      </c>
      <c r="K62" s="9">
        <v>1.0</v>
      </c>
      <c r="L62" s="9">
        <v>1.0</v>
      </c>
      <c r="M62" s="9">
        <v>1.0</v>
      </c>
      <c r="N62" s="9">
        <v>1.0</v>
      </c>
      <c r="O62" s="9">
        <v>1.0</v>
      </c>
      <c r="P62" s="9">
        <v>1.0</v>
      </c>
      <c r="Q62" s="9">
        <v>1.0</v>
      </c>
      <c r="R62" s="22">
        <v>1.0</v>
      </c>
      <c r="S62" s="22">
        <v>1.0</v>
      </c>
      <c r="T62" s="26">
        <v>1.0</v>
      </c>
      <c r="U62" s="16"/>
      <c r="V62" s="27">
        <v>0.0</v>
      </c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8">
        <f t="shared" si="1"/>
        <v>17</v>
      </c>
      <c r="BE62" s="23">
        <f t="shared" si="2"/>
        <v>113.3333333</v>
      </c>
    </row>
    <row r="63">
      <c r="A63" s="9">
        <v>57.0</v>
      </c>
      <c r="B63" s="24">
        <v>2.02401100300131E14</v>
      </c>
      <c r="C63" s="25" t="s">
        <v>72</v>
      </c>
      <c r="D63" s="9">
        <v>1.0</v>
      </c>
      <c r="E63" s="18">
        <v>1.0</v>
      </c>
      <c r="F63" s="9">
        <v>1.0</v>
      </c>
      <c r="G63" s="9">
        <v>1.0</v>
      </c>
      <c r="H63" s="21">
        <v>0.0</v>
      </c>
      <c r="I63" s="21">
        <v>0.0</v>
      </c>
      <c r="J63" s="9">
        <v>1.0</v>
      </c>
      <c r="K63" s="9">
        <v>1.0</v>
      </c>
      <c r="L63" s="9">
        <v>1.0</v>
      </c>
      <c r="M63" s="9">
        <v>1.0</v>
      </c>
      <c r="N63" s="21">
        <v>0.0</v>
      </c>
      <c r="O63" s="21">
        <v>0.0</v>
      </c>
      <c r="P63" s="9">
        <v>1.0</v>
      </c>
      <c r="Q63" s="9">
        <v>1.0</v>
      </c>
      <c r="R63" s="22">
        <v>1.0</v>
      </c>
      <c r="S63" s="22">
        <v>1.0</v>
      </c>
      <c r="T63" s="27">
        <v>0.0</v>
      </c>
      <c r="U63" s="27">
        <v>0.0</v>
      </c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8">
        <f t="shared" si="1"/>
        <v>12</v>
      </c>
      <c r="BE63" s="23">
        <f t="shared" si="2"/>
        <v>70.58823529</v>
      </c>
    </row>
    <row r="64">
      <c r="A64" s="9">
        <v>58.0</v>
      </c>
      <c r="B64" s="24">
        <v>2.02401100300132E14</v>
      </c>
      <c r="C64" s="25" t="s">
        <v>73</v>
      </c>
      <c r="D64" s="9">
        <v>1.0</v>
      </c>
      <c r="E64" s="18">
        <v>1.0</v>
      </c>
      <c r="F64" s="9">
        <v>1.0</v>
      </c>
      <c r="G64" s="9">
        <v>1.0</v>
      </c>
      <c r="H64" s="9">
        <v>1.0</v>
      </c>
      <c r="I64" s="9">
        <v>1.0</v>
      </c>
      <c r="J64" s="9">
        <v>1.0</v>
      </c>
      <c r="K64" s="9">
        <v>1.0</v>
      </c>
      <c r="L64" s="9">
        <v>1.0</v>
      </c>
      <c r="M64" s="9">
        <v>1.0</v>
      </c>
      <c r="N64" s="9">
        <v>1.0</v>
      </c>
      <c r="O64" s="9">
        <v>1.0</v>
      </c>
      <c r="P64" s="9">
        <v>1.0</v>
      </c>
      <c r="Q64" s="9">
        <v>1.0</v>
      </c>
      <c r="R64" s="22">
        <v>1.0</v>
      </c>
      <c r="S64" s="22">
        <v>1.0</v>
      </c>
      <c r="T64" s="26">
        <v>1.0</v>
      </c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8">
        <f t="shared" si="1"/>
        <v>17</v>
      </c>
      <c r="BE64" s="23">
        <f t="shared" si="2"/>
        <v>141.6666667</v>
      </c>
    </row>
    <row r="65">
      <c r="A65" s="9">
        <v>59.0</v>
      </c>
      <c r="B65" s="24">
        <v>2.02401100300133E14</v>
      </c>
      <c r="C65" s="25" t="s">
        <v>74</v>
      </c>
      <c r="D65" s="9">
        <v>1.0</v>
      </c>
      <c r="E65" s="18">
        <v>1.0</v>
      </c>
      <c r="F65" s="9">
        <v>1.0</v>
      </c>
      <c r="G65" s="9">
        <v>1.0</v>
      </c>
      <c r="H65" s="9">
        <v>1.0</v>
      </c>
      <c r="I65" s="9">
        <v>1.0</v>
      </c>
      <c r="J65" s="9">
        <v>1.0</v>
      </c>
      <c r="K65" s="9">
        <v>1.0</v>
      </c>
      <c r="L65" s="9">
        <v>1.0</v>
      </c>
      <c r="M65" s="9">
        <v>1.0</v>
      </c>
      <c r="N65" s="9">
        <v>1.0</v>
      </c>
      <c r="O65" s="9">
        <v>1.0</v>
      </c>
      <c r="P65" s="9">
        <v>1.0</v>
      </c>
      <c r="Q65" s="9">
        <v>1.0</v>
      </c>
      <c r="R65" s="22">
        <v>1.0</v>
      </c>
      <c r="S65" s="22">
        <v>1.0</v>
      </c>
      <c r="T65" s="26">
        <v>1.0</v>
      </c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8">
        <f t="shared" si="1"/>
        <v>17</v>
      </c>
      <c r="BE65" s="23">
        <f t="shared" si="2"/>
        <v>100</v>
      </c>
    </row>
    <row r="66">
      <c r="A66" s="9">
        <v>60.0</v>
      </c>
      <c r="B66" s="24">
        <v>2.02401100300134E14</v>
      </c>
      <c r="C66" s="25" t="s">
        <v>75</v>
      </c>
      <c r="D66" s="9">
        <v>1.0</v>
      </c>
      <c r="E66" s="18">
        <v>1.0</v>
      </c>
      <c r="F66" s="9">
        <v>1.0</v>
      </c>
      <c r="G66" s="9">
        <v>1.0</v>
      </c>
      <c r="H66" s="9">
        <v>1.0</v>
      </c>
      <c r="I66" s="9">
        <v>1.0</v>
      </c>
      <c r="J66" s="21">
        <v>0.0</v>
      </c>
      <c r="K66" s="21">
        <v>0.0</v>
      </c>
      <c r="L66" s="21">
        <v>0.0</v>
      </c>
      <c r="M66" s="21">
        <v>0.0</v>
      </c>
      <c r="N66" s="9">
        <v>1.0</v>
      </c>
      <c r="O66" s="9">
        <v>1.0</v>
      </c>
      <c r="P66" s="21">
        <v>0.0</v>
      </c>
      <c r="Q66" s="21">
        <v>0.0</v>
      </c>
      <c r="R66" s="22">
        <v>1.0</v>
      </c>
      <c r="S66" s="22">
        <v>1.0</v>
      </c>
      <c r="T66" s="27">
        <v>0.0</v>
      </c>
      <c r="U66" s="27">
        <v>0.0</v>
      </c>
      <c r="V66" s="27">
        <v>0.0</v>
      </c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8">
        <f t="shared" si="1"/>
        <v>10</v>
      </c>
      <c r="BE66" s="23">
        <f t="shared" si="2"/>
        <v>58.82352941</v>
      </c>
    </row>
    <row r="67">
      <c r="A67" s="9">
        <v>61.0</v>
      </c>
      <c r="B67" s="24">
        <v>2.02401100300135E14</v>
      </c>
      <c r="C67" s="25" t="s">
        <v>76</v>
      </c>
      <c r="D67" s="9">
        <v>1.0</v>
      </c>
      <c r="E67" s="18">
        <v>1.0</v>
      </c>
      <c r="F67" s="21">
        <v>0.0</v>
      </c>
      <c r="G67" s="21">
        <v>0.0</v>
      </c>
      <c r="H67" s="9">
        <v>1.0</v>
      </c>
      <c r="I67" s="9">
        <v>1.0</v>
      </c>
      <c r="J67" s="9">
        <v>1.0</v>
      </c>
      <c r="K67" s="9">
        <v>1.0</v>
      </c>
      <c r="L67" s="9">
        <v>1.0</v>
      </c>
      <c r="M67" s="9">
        <v>1.0</v>
      </c>
      <c r="N67" s="9">
        <v>1.0</v>
      </c>
      <c r="O67" s="9">
        <v>1.0</v>
      </c>
      <c r="P67" s="9">
        <v>1.0</v>
      </c>
      <c r="Q67" s="9">
        <v>1.0</v>
      </c>
      <c r="R67" s="22">
        <v>1.0</v>
      </c>
      <c r="S67" s="22">
        <v>1.0</v>
      </c>
      <c r="T67" s="26">
        <v>1.0</v>
      </c>
      <c r="U67" s="27">
        <v>0.0</v>
      </c>
      <c r="V67" s="26">
        <v>1.0</v>
      </c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8">
        <f t="shared" si="1"/>
        <v>16</v>
      </c>
      <c r="BE67" s="23">
        <f t="shared" si="2"/>
        <v>160</v>
      </c>
    </row>
    <row r="68">
      <c r="A68" s="9">
        <v>62.0</v>
      </c>
      <c r="B68" s="24">
        <v>2.02401100300137E14</v>
      </c>
      <c r="C68" s="25" t="s">
        <v>77</v>
      </c>
      <c r="D68" s="9">
        <v>1.0</v>
      </c>
      <c r="E68" s="18">
        <v>1.0</v>
      </c>
      <c r="F68" s="9">
        <v>1.0</v>
      </c>
      <c r="G68" s="9">
        <v>1.0</v>
      </c>
      <c r="H68" s="9">
        <v>1.0</v>
      </c>
      <c r="I68" s="9">
        <v>1.0</v>
      </c>
      <c r="J68" s="9">
        <v>1.0</v>
      </c>
      <c r="K68" s="9">
        <v>1.0</v>
      </c>
      <c r="L68" s="9">
        <v>1.0</v>
      </c>
      <c r="M68" s="9">
        <v>1.0</v>
      </c>
      <c r="N68" s="9">
        <v>1.0</v>
      </c>
      <c r="O68" s="9">
        <v>1.0</v>
      </c>
      <c r="P68" s="9">
        <v>1.0</v>
      </c>
      <c r="Q68" s="9">
        <v>1.0</v>
      </c>
      <c r="R68" s="22">
        <v>1.0</v>
      </c>
      <c r="S68" s="22">
        <v>1.0</v>
      </c>
      <c r="T68" s="26">
        <v>1.0</v>
      </c>
      <c r="U68" s="16"/>
      <c r="V68" s="26">
        <v>1.0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8">
        <f t="shared" si="1"/>
        <v>18</v>
      </c>
      <c r="BE68" s="23">
        <f t="shared" si="2"/>
        <v>112.5</v>
      </c>
    </row>
    <row r="69">
      <c r="A69" s="9">
        <v>63.0</v>
      </c>
      <c r="B69" s="24">
        <v>2.02401100300138E14</v>
      </c>
      <c r="C69" s="25" t="s">
        <v>78</v>
      </c>
      <c r="D69" s="9">
        <v>1.0</v>
      </c>
      <c r="E69" s="18">
        <v>1.0</v>
      </c>
      <c r="F69" s="9">
        <v>1.0</v>
      </c>
      <c r="G69" s="9">
        <v>1.0</v>
      </c>
      <c r="H69" s="9">
        <v>1.0</v>
      </c>
      <c r="I69" s="9">
        <v>1.0</v>
      </c>
      <c r="J69" s="9">
        <v>1.0</v>
      </c>
      <c r="K69" s="9">
        <v>1.0</v>
      </c>
      <c r="L69" s="9">
        <v>1.0</v>
      </c>
      <c r="M69" s="9">
        <v>1.0</v>
      </c>
      <c r="N69" s="9">
        <v>1.0</v>
      </c>
      <c r="O69" s="9">
        <v>1.0</v>
      </c>
      <c r="P69" s="9">
        <v>1.0</v>
      </c>
      <c r="Q69" s="9">
        <v>1.0</v>
      </c>
      <c r="R69" s="22">
        <v>1.0</v>
      </c>
      <c r="S69" s="22">
        <v>1.0</v>
      </c>
      <c r="T69" s="26">
        <v>1.0</v>
      </c>
      <c r="U69" s="27">
        <v>0.0</v>
      </c>
      <c r="V69" s="27">
        <v>0.0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8">
        <f t="shared" si="1"/>
        <v>17</v>
      </c>
      <c r="BE69" s="23">
        <f t="shared" si="2"/>
        <v>94.44444444</v>
      </c>
    </row>
    <row r="70">
      <c r="A70" s="9">
        <v>64.0</v>
      </c>
      <c r="B70" s="24">
        <v>2.02401100300139E14</v>
      </c>
      <c r="C70" s="25" t="s">
        <v>79</v>
      </c>
      <c r="D70" s="21">
        <v>0.0</v>
      </c>
      <c r="E70" s="28">
        <v>0.0</v>
      </c>
      <c r="F70" s="9">
        <v>1.0</v>
      </c>
      <c r="G70" s="9">
        <v>1.0</v>
      </c>
      <c r="H70" s="9">
        <v>1.0</v>
      </c>
      <c r="I70" s="9">
        <v>1.0</v>
      </c>
      <c r="J70" s="21">
        <v>0.0</v>
      </c>
      <c r="K70" s="21">
        <v>0.0</v>
      </c>
      <c r="L70" s="9">
        <v>1.0</v>
      </c>
      <c r="M70" s="9">
        <v>1.0</v>
      </c>
      <c r="N70" s="9">
        <v>1.0</v>
      </c>
      <c r="O70" s="9">
        <v>1.0</v>
      </c>
      <c r="P70" s="9">
        <v>1.0</v>
      </c>
      <c r="Q70" s="9">
        <v>1.0</v>
      </c>
      <c r="R70" s="22">
        <v>1.0</v>
      </c>
      <c r="S70" s="22">
        <v>1.0</v>
      </c>
      <c r="T70" s="26">
        <v>1.0</v>
      </c>
      <c r="U70" s="16"/>
      <c r="V70" s="26">
        <v>1.0</v>
      </c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8">
        <f t="shared" si="1"/>
        <v>14</v>
      </c>
      <c r="BE70" s="23">
        <f t="shared" si="2"/>
        <v>82.35294118</v>
      </c>
    </row>
    <row r="71">
      <c r="A71" s="9">
        <v>65.0</v>
      </c>
      <c r="B71" s="24">
        <v>2.0240110030014E14</v>
      </c>
      <c r="C71" s="25" t="s">
        <v>80</v>
      </c>
      <c r="D71" s="9">
        <v>1.0</v>
      </c>
      <c r="E71" s="18">
        <v>1.0</v>
      </c>
      <c r="F71" s="9">
        <v>1.0</v>
      </c>
      <c r="G71" s="9">
        <v>1.0</v>
      </c>
      <c r="H71" s="9">
        <v>1.0</v>
      </c>
      <c r="I71" s="9">
        <v>1.0</v>
      </c>
      <c r="J71" s="9">
        <v>1.0</v>
      </c>
      <c r="K71" s="9">
        <v>1.0</v>
      </c>
      <c r="L71" s="9">
        <v>1.0</v>
      </c>
      <c r="M71" s="9">
        <v>1.0</v>
      </c>
      <c r="N71" s="9">
        <v>1.0</v>
      </c>
      <c r="O71" s="9">
        <v>1.0</v>
      </c>
      <c r="P71" s="9">
        <v>1.0</v>
      </c>
      <c r="Q71" s="9">
        <v>1.0</v>
      </c>
      <c r="R71" s="22">
        <v>1.0</v>
      </c>
      <c r="S71" s="22">
        <v>1.0</v>
      </c>
      <c r="T71" s="26">
        <v>1.0</v>
      </c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8">
        <f t="shared" si="1"/>
        <v>17</v>
      </c>
      <c r="BE71" s="23">
        <f t="shared" si="2"/>
        <v>121.4285714</v>
      </c>
    </row>
    <row r="72">
      <c r="A72" s="9">
        <v>66.0</v>
      </c>
      <c r="B72" s="24">
        <v>2.02401100300141E14</v>
      </c>
      <c r="C72" s="25" t="s">
        <v>81</v>
      </c>
      <c r="D72" s="9">
        <v>1.0</v>
      </c>
      <c r="E72" s="18">
        <v>1.0</v>
      </c>
      <c r="F72" s="9">
        <v>1.0</v>
      </c>
      <c r="G72" s="9">
        <v>1.0</v>
      </c>
      <c r="H72" s="9">
        <v>1.0</v>
      </c>
      <c r="I72" s="9">
        <v>1.0</v>
      </c>
      <c r="J72" s="9">
        <v>1.0</v>
      </c>
      <c r="K72" s="9">
        <v>1.0</v>
      </c>
      <c r="L72" s="21">
        <v>0.0</v>
      </c>
      <c r="M72" s="21">
        <v>0.0</v>
      </c>
      <c r="N72" s="9">
        <v>1.0</v>
      </c>
      <c r="O72" s="9">
        <v>1.0</v>
      </c>
      <c r="P72" s="9">
        <v>1.0</v>
      </c>
      <c r="Q72" s="9">
        <v>1.0</v>
      </c>
      <c r="R72" s="22">
        <v>0.0</v>
      </c>
      <c r="S72" s="22">
        <v>0.0</v>
      </c>
      <c r="T72" s="26">
        <v>1.0</v>
      </c>
      <c r="U72" s="16"/>
      <c r="V72" s="27">
        <v>0.0</v>
      </c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8">
        <f t="shared" si="1"/>
        <v>13</v>
      </c>
      <c r="BE72" s="23">
        <f t="shared" si="2"/>
        <v>76.47058824</v>
      </c>
    </row>
    <row r="73">
      <c r="A73" s="9">
        <v>67.0</v>
      </c>
      <c r="B73" s="24">
        <v>2.02401100300142E14</v>
      </c>
      <c r="C73" s="25" t="s">
        <v>82</v>
      </c>
      <c r="D73" s="9">
        <v>1.0</v>
      </c>
      <c r="E73" s="18">
        <v>1.0</v>
      </c>
      <c r="F73" s="9">
        <v>1.0</v>
      </c>
      <c r="G73" s="9">
        <v>1.0</v>
      </c>
      <c r="H73" s="9">
        <v>1.0</v>
      </c>
      <c r="I73" s="9">
        <v>1.0</v>
      </c>
      <c r="J73" s="9">
        <v>1.0</v>
      </c>
      <c r="K73" s="9">
        <v>1.0</v>
      </c>
      <c r="L73" s="21">
        <v>0.0</v>
      </c>
      <c r="M73" s="21">
        <v>0.0</v>
      </c>
      <c r="N73" s="9">
        <v>1.0</v>
      </c>
      <c r="O73" s="9">
        <v>1.0</v>
      </c>
      <c r="P73" s="9">
        <v>1.0</v>
      </c>
      <c r="Q73" s="9">
        <v>1.0</v>
      </c>
      <c r="R73" s="22">
        <v>1.0</v>
      </c>
      <c r="S73" s="22">
        <v>1.0</v>
      </c>
      <c r="T73" s="26">
        <v>1.0</v>
      </c>
      <c r="U73" s="16"/>
      <c r="V73" s="27">
        <v>0.0</v>
      </c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8">
        <f t="shared" si="1"/>
        <v>15</v>
      </c>
      <c r="BE73" s="23">
        <f t="shared" si="2"/>
        <v>115.3846154</v>
      </c>
    </row>
    <row r="74">
      <c r="A74" s="9">
        <v>68.0</v>
      </c>
      <c r="B74" s="24">
        <v>2.02401100300143E14</v>
      </c>
      <c r="C74" s="25" t="s">
        <v>83</v>
      </c>
      <c r="D74" s="21">
        <v>0.0</v>
      </c>
      <c r="E74" s="28">
        <v>0.0</v>
      </c>
      <c r="F74" s="9">
        <v>1.0</v>
      </c>
      <c r="G74" s="9">
        <v>1.0</v>
      </c>
      <c r="H74" s="9">
        <v>1.0</v>
      </c>
      <c r="I74" s="9">
        <v>1.0</v>
      </c>
      <c r="J74" s="9">
        <v>1.0</v>
      </c>
      <c r="K74" s="9">
        <v>1.0</v>
      </c>
      <c r="L74" s="21">
        <v>0.0</v>
      </c>
      <c r="M74" s="21">
        <v>0.0</v>
      </c>
      <c r="N74" s="21">
        <v>0.0</v>
      </c>
      <c r="O74" s="21">
        <v>0.0</v>
      </c>
      <c r="P74" s="9">
        <v>1.0</v>
      </c>
      <c r="Q74" s="9">
        <v>1.0</v>
      </c>
      <c r="R74" s="22">
        <v>1.0</v>
      </c>
      <c r="S74" s="22">
        <v>1.0</v>
      </c>
      <c r="T74" s="26">
        <v>1.0</v>
      </c>
      <c r="U74" s="27">
        <v>0.0</v>
      </c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8">
        <f t="shared" si="1"/>
        <v>11</v>
      </c>
      <c r="BE74" s="23">
        <f t="shared" si="2"/>
        <v>73.33333333</v>
      </c>
    </row>
    <row r="75">
      <c r="A75" s="9">
        <v>69.0</v>
      </c>
      <c r="B75" s="24">
        <v>2.02401100300144E14</v>
      </c>
      <c r="C75" s="25" t="s">
        <v>84</v>
      </c>
      <c r="D75" s="9">
        <v>1.0</v>
      </c>
      <c r="E75" s="18">
        <v>1.0</v>
      </c>
      <c r="F75" s="9">
        <v>1.0</v>
      </c>
      <c r="G75" s="9">
        <v>1.0</v>
      </c>
      <c r="H75" s="21">
        <v>0.0</v>
      </c>
      <c r="I75" s="21">
        <v>0.0</v>
      </c>
      <c r="J75" s="9">
        <v>1.0</v>
      </c>
      <c r="K75" s="9">
        <v>1.0</v>
      </c>
      <c r="L75" s="9">
        <v>1.0</v>
      </c>
      <c r="M75" s="9">
        <v>1.0</v>
      </c>
      <c r="N75" s="9">
        <v>1.0</v>
      </c>
      <c r="O75" s="9">
        <v>1.0</v>
      </c>
      <c r="P75" s="9">
        <v>1.0</v>
      </c>
      <c r="Q75" s="9">
        <v>1.0</v>
      </c>
      <c r="R75" s="22">
        <v>1.0</v>
      </c>
      <c r="S75" s="22">
        <v>1.0</v>
      </c>
      <c r="T75" s="26">
        <v>1.0</v>
      </c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8">
        <f t="shared" si="1"/>
        <v>15</v>
      </c>
      <c r="BE75" s="23">
        <f t="shared" si="2"/>
        <v>136.3636364</v>
      </c>
    </row>
    <row r="76">
      <c r="A76" s="9" t="s">
        <v>85</v>
      </c>
      <c r="B76" s="24">
        <v>2.02401100300145E14</v>
      </c>
      <c r="C76" s="25" t="s">
        <v>86</v>
      </c>
      <c r="D76" s="21">
        <v>0.0</v>
      </c>
      <c r="E76" s="28">
        <v>0.0</v>
      </c>
      <c r="F76" s="21">
        <v>0.0</v>
      </c>
      <c r="G76" s="21">
        <v>0.0</v>
      </c>
      <c r="H76" s="9">
        <v>1.0</v>
      </c>
      <c r="I76" s="9">
        <v>1.0</v>
      </c>
      <c r="J76" s="9">
        <v>1.0</v>
      </c>
      <c r="K76" s="9">
        <v>1.0</v>
      </c>
      <c r="L76" s="9">
        <v>1.0</v>
      </c>
      <c r="M76" s="9">
        <v>1.0</v>
      </c>
      <c r="N76" s="21">
        <v>0.0</v>
      </c>
      <c r="O76" s="21">
        <v>0.0</v>
      </c>
      <c r="P76" s="21">
        <v>0.0</v>
      </c>
      <c r="Q76" s="21">
        <v>0.0</v>
      </c>
      <c r="R76" s="22">
        <v>1.0</v>
      </c>
      <c r="S76" s="22">
        <v>1.0</v>
      </c>
      <c r="T76" s="27">
        <v>0.0</v>
      </c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8">
        <f t="shared" si="1"/>
        <v>8</v>
      </c>
      <c r="BE76" s="23">
        <f t="shared" si="2"/>
        <v>53.33333333</v>
      </c>
    </row>
    <row r="77">
      <c r="A77" s="9">
        <v>71.0</v>
      </c>
      <c r="B77" s="24">
        <v>2.02401100300146E14</v>
      </c>
      <c r="C77" s="25" t="s">
        <v>87</v>
      </c>
      <c r="D77" s="9">
        <v>1.0</v>
      </c>
      <c r="E77" s="18">
        <v>1.0</v>
      </c>
      <c r="F77" s="9">
        <v>1.0</v>
      </c>
      <c r="G77" s="9">
        <v>1.0</v>
      </c>
      <c r="H77" s="9">
        <v>1.0</v>
      </c>
      <c r="I77" s="9">
        <v>1.0</v>
      </c>
      <c r="J77" s="9">
        <v>1.0</v>
      </c>
      <c r="K77" s="9">
        <v>1.0</v>
      </c>
      <c r="L77" s="9">
        <v>1.0</v>
      </c>
      <c r="M77" s="9">
        <v>1.0</v>
      </c>
      <c r="N77" s="9">
        <v>1.0</v>
      </c>
      <c r="O77" s="9">
        <v>1.0</v>
      </c>
      <c r="P77" s="9">
        <v>1.0</v>
      </c>
      <c r="Q77" s="9">
        <v>1.0</v>
      </c>
      <c r="R77" s="22">
        <v>1.0</v>
      </c>
      <c r="S77" s="22">
        <v>1.0</v>
      </c>
      <c r="T77" s="26">
        <v>1.0</v>
      </c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8">
        <f t="shared" si="1"/>
        <v>17</v>
      </c>
      <c r="BE77" s="23">
        <f t="shared" si="2"/>
        <v>212.5</v>
      </c>
    </row>
    <row r="78">
      <c r="A78" s="9">
        <v>72.0</v>
      </c>
      <c r="B78" s="24">
        <v>2.02401100300147E14</v>
      </c>
      <c r="C78" s="25" t="s">
        <v>88</v>
      </c>
      <c r="D78" s="9">
        <v>1.0</v>
      </c>
      <c r="E78" s="18">
        <v>1.0</v>
      </c>
      <c r="F78" s="9">
        <v>1.0</v>
      </c>
      <c r="G78" s="9">
        <v>1.0</v>
      </c>
      <c r="H78" s="9">
        <v>1.0</v>
      </c>
      <c r="I78" s="9">
        <v>1.0</v>
      </c>
      <c r="J78" s="9">
        <v>1.0</v>
      </c>
      <c r="K78" s="9">
        <v>1.0</v>
      </c>
      <c r="L78" s="21">
        <v>0.0</v>
      </c>
      <c r="M78" s="21">
        <v>0.0</v>
      </c>
      <c r="N78" s="21">
        <v>0.0</v>
      </c>
      <c r="O78" s="21">
        <v>0.0</v>
      </c>
      <c r="P78" s="9">
        <v>1.0</v>
      </c>
      <c r="Q78" s="9">
        <v>1.0</v>
      </c>
      <c r="R78" s="22">
        <v>1.0</v>
      </c>
      <c r="S78" s="22">
        <v>1.0</v>
      </c>
      <c r="T78" s="26">
        <v>1.0</v>
      </c>
      <c r="U78" s="16"/>
      <c r="V78" s="27">
        <v>0.0</v>
      </c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8">
        <f t="shared" si="1"/>
        <v>13</v>
      </c>
      <c r="BE78" s="23">
        <f t="shared" si="2"/>
        <v>76.47058824</v>
      </c>
    </row>
    <row r="79">
      <c r="A79" s="16"/>
      <c r="B79" s="16"/>
      <c r="C79" s="33" t="s">
        <v>89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</row>
  </sheetData>
  <mergeCells count="5">
    <mergeCell ref="A1:BE1"/>
    <mergeCell ref="A2:BE2"/>
    <mergeCell ref="A3:BE3"/>
    <mergeCell ref="A4:W4"/>
    <mergeCell ref="A5:C5"/>
  </mergeCells>
  <hyperlinks>
    <hyperlink r:id="rId1" ref="A6"/>
  </hyperlinks>
  <drawing r:id="rId2"/>
</worksheet>
</file>